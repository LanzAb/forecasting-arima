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Kalkulator" sheetId="1" state="visible" r:id="rId3"/>
    <sheet name="Hari per Hari" sheetId="2" state="visible" r:id="rId4"/>
    <sheet name="Grafik Haria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Kalkulator</author>
  </authors>
  <commentList>
    <comment ref="B10" authorId="0">
      <text>
        <r>
          <rPr>
            <sz val="10"/>
            <rFont val="Arial"/>
            <family val="2"/>
          </rPr>
          <t xml:space="preserve">Jumlah semua jenis sekop.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5</xdr:rowOff>
              </xdr:from>
              <xdr:to>
                <xdr:col>1</xdr:col>
                <xdr:colOff>54</xdr:colOff>
                <xdr:row>4</xdr:row>
                <xdr:rowOff>10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Total dz dikali 12, karena 1 dz = 12 pcs.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5</xdr:rowOff>
              </xdr:from>
              <xdr:to>
                <xdr:col>1</xdr:col>
                <xdr:colOff>54</xdr:colOff>
                <xdr:row>4</xdr:row>
                <xdr:rowOff>10</xdr:rowOff>
              </xdr:to>
            </anchor>
          </commentPr>
        </mc:Choice>
        <mc:Fallback/>
      </mc:AlternateContent>
    </comment>
    <comment ref="B16" authorId="0">
      <text>
        <r>
          <rPr>
            <sz val="10"/>
            <rFont val="Arial"/>
            <family val="2"/>
          </rPr>
          <t xml:space="preserve">Ganti dengan tanggal yang diinginkan.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17</xdr:rowOff>
              </xdr:from>
              <xdr:to>
                <xdr:col>1</xdr:col>
                <xdr:colOff>54</xdr:colOff>
                <xdr:row>5</xdr:row>
                <xdr:rowOff>2</xdr:rowOff>
              </xdr:to>
            </anchor>
          </commentPr>
        </mc:Choice>
        <mc:Fallback/>
      </mc:AlternateContent>
    </comment>
    <comment ref="B26" authorId="0">
      <text>
        <r>
          <rPr>
            <sz val="10"/>
            <rFont val="Arial"/>
            <family val="2"/>
          </rPr>
          <t xml:space="preserve">(Papak Crocodille + Papak Rees Q) dikali 12.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17</xdr:rowOff>
              </xdr:from>
              <xdr:to>
                <xdr:col>1</xdr:col>
                <xdr:colOff>54</xdr:colOff>
                <xdr:row>5</xdr:row>
                <xdr:rowOff>2</xdr:rowOff>
              </xdr:to>
            </anchor>
          </commentPr>
        </mc:Choice>
        <mc:Fallback/>
      </mc:AlternateContent>
    </comment>
    <comment ref="B27" authorId="0">
      <text>
        <r>
          <rPr>
            <sz val="10"/>
            <rFont val="Arial"/>
            <family val="2"/>
          </rPr>
          <t xml:space="preserve">(Lancip Crocodille + Lancip Rees Q) dikali 12.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17</xdr:rowOff>
              </xdr:from>
              <xdr:to>
                <xdr:col>1</xdr:col>
                <xdr:colOff>54</xdr:colOff>
                <xdr:row>5</xdr:row>
                <xdr:rowOff>2</xdr:rowOff>
              </xdr:to>
            </anchor>
          </commentPr>
        </mc:Choice>
        <mc:Fallback/>
      </mc:AlternateContent>
    </comment>
    <comment ref="B28" authorId="0">
      <text>
        <r>
          <rPr>
            <sz val="10"/>
            <rFont val="Arial"/>
            <family val="2"/>
          </rPr>
          <t xml:space="preserve">Satu sekop butuh satu handle, jadi sama dengan total pcs.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17</xdr:rowOff>
              </xdr:from>
              <xdr:to>
                <xdr:col>1</xdr:col>
                <xdr:colOff>54</xdr:colOff>
                <xdr:row>5</xdr:row>
                <xdr:rowOff>2</xdr:rowOff>
              </xdr:to>
            </anchor>
          </commentPr>
        </mc:Choice>
        <mc:Fallback/>
      </mc:AlternateContent>
    </comment>
    <comment ref="B29" authorId="0">
      <text>
        <r>
          <rPr>
            <sz val="10"/>
            <rFont val="Arial"/>
            <family val="2"/>
          </rPr>
          <t xml:space="preserve">Hari 1 kalau total kepala sudah mencapai kapasitas coating (780 pcs). Kalau belum, mulai hari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17</xdr:rowOff>
              </xdr:from>
              <xdr:to>
                <xdr:col>1</xdr:col>
                <xdr:colOff>54</xdr:colOff>
                <xdr:row>5</xdr:row>
                <xdr:rowOff>2</xdr:rowOff>
              </xdr:to>
            </anchor>
          </commentPr>
        </mc:Choice>
        <mc:Fallback/>
      </mc:AlternateContent>
    </comment>
    <comment ref="B30" authorId="0">
      <text>
        <r>
          <rPr>
            <sz val="10"/>
            <rFont val="Arial"/>
            <family val="2"/>
          </rPr>
          <t xml:space="preserve">Yang paling lama dari cetak papak, cetak lancip, dan handle. Masing-masing = jumlah : kapasitas, dibulatkan ke atas.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6</xdr:rowOff>
              </xdr:from>
              <xdr:to>
                <xdr:col>1</xdr:col>
                <xdr:colOff>54</xdr:colOff>
                <xdr:row>5</xdr:row>
                <xdr:rowOff>14</xdr:rowOff>
              </xdr:to>
            </anchor>
          </commentPr>
        </mc:Choice>
        <mc:Fallback/>
      </mc:AlternateContent>
    </comment>
    <comment ref="B31" authorId="0">
      <text>
        <r>
          <rPr>
            <sz val="10"/>
            <rFont val="Arial"/>
            <family val="2"/>
          </rPr>
          <t xml:space="preserve">Total pcs dibagi kapasitas coating, dibulatkan ke atas.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18</xdr:rowOff>
              </xdr:from>
              <xdr:to>
                <xdr:col>1</xdr:col>
                <xdr:colOff>54</xdr:colOff>
                <xdr:row>6</xdr:row>
                <xdr:rowOff>6</xdr:rowOff>
              </xdr:to>
            </anchor>
          </commentPr>
        </mc:Choice>
        <mc:Fallback/>
      </mc:AlternateContent>
    </comment>
    <comment ref="B32" authorId="0">
      <text>
        <r>
          <rPr>
            <sz val="10"/>
            <rFont val="Arial"/>
            <family val="2"/>
          </rPr>
          <t xml:space="preserve">Total dz dibagi kapasitas rakit + kemas, dibulatkan ke atas.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18</xdr:rowOff>
              </xdr:from>
              <xdr:to>
                <xdr:col>1</xdr:col>
                <xdr:colOff>54</xdr:colOff>
                <xdr:row>6</xdr:row>
                <xdr:rowOff>6</xdr:rowOff>
              </xdr:to>
            </anchor>
          </commentPr>
        </mc:Choice>
        <mc:Fallback/>
      </mc:AlternateContent>
    </comment>
    <comment ref="B33" authorId="0">
      <text>
        <r>
          <rPr>
            <sz val="10"/>
            <rFont val="Arial"/>
            <family val="2"/>
          </rPr>
          <t xml:space="preserve">Hari mulai coating + jumlah hari tahap paling lama (biasanya coating).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18</xdr:rowOff>
              </xdr:from>
              <xdr:to>
                <xdr:col>1</xdr:col>
                <xdr:colOff>54</xdr:colOff>
                <xdr:row>6</xdr:row>
                <xdr:rowOff>6</xdr:rowOff>
              </xdr:to>
            </anchor>
          </commentPr>
        </mc:Choice>
        <mc:Fallback/>
      </mc:AlternateContent>
    </comment>
    <comment ref="B34" authorId="0">
      <text>
        <r>
          <rPr>
            <sz val="10"/>
            <rFont val="Arial"/>
            <family val="2"/>
          </rPr>
          <t xml:space="preserve">Hari pertama di sheet Hari per Hari ketika semua sekop sudah dirakit dan dikemas. Harus sama dengan baris di atasnya.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18</xdr:rowOff>
              </xdr:from>
              <xdr:to>
                <xdr:col>1</xdr:col>
                <xdr:colOff>54</xdr:colOff>
                <xdr:row>6</xdr:row>
                <xdr:rowOff>6</xdr:rowOff>
              </xdr:to>
            </anchor>
          </commentPr>
        </mc:Choice>
        <mc:Fallback/>
      </mc:AlternateContent>
    </comment>
    <comment ref="B35" authorId="0">
      <text>
        <r>
          <rPr>
            <sz val="10"/>
            <rFont val="Arial"/>
            <family val="2"/>
          </rPr>
          <t xml:space="preserve">Nol kalau bahan sudah tersedia. Kalau belum, pakai lama beli bahan.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10</xdr:rowOff>
              </xdr:from>
              <xdr:to>
                <xdr:col>1</xdr:col>
                <xdr:colOff>54</xdr:colOff>
                <xdr:row>6</xdr:row>
                <xdr:rowOff>18</xdr:rowOff>
              </xdr:to>
            </anchor>
          </commentPr>
        </mc:Choice>
        <mc:Fallback/>
      </mc:AlternateContent>
    </comment>
    <comment ref="B36" authorId="0">
      <text>
        <r>
          <rPr>
            <sz val="10"/>
            <rFont val="Arial"/>
            <family val="2"/>
          </rPr>
          <t xml:space="preserve">Lama beli bahan + lama produksi.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10</xdr:rowOff>
              </xdr:from>
              <xdr:to>
                <xdr:col>1</xdr:col>
                <xdr:colOff>54</xdr:colOff>
                <xdr:row>6</xdr:row>
                <xdr:rowOff>18</xdr:rowOff>
              </xdr:to>
            </anchor>
          </commentPr>
        </mc:Choice>
        <mc:Fallback/>
      </mc:AlternateContent>
    </comment>
    <comment ref="B37" authorId="0">
      <text>
        <r>
          <rPr>
            <sz val="10"/>
            <rFont val="Arial"/>
            <family val="2"/>
          </rPr>
          <t xml:space="preserve">Tanggal mulai + lama beli bahan (hari kalender).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10</xdr:rowOff>
              </xdr:from>
              <xdr:to>
                <xdr:col>1</xdr:col>
                <xdr:colOff>54</xdr:colOff>
                <xdr:row>6</xdr:row>
                <xdr:rowOff>18</xdr:rowOff>
              </xdr:to>
            </anchor>
          </commentPr>
        </mc:Choice>
        <mc:Fallback/>
      </mc:AlternateContent>
    </comment>
    <comment ref="B38" authorId="0">
      <text>
        <r>
          <rPr>
            <sz val="10"/>
            <rFont val="Arial"/>
            <family val="2"/>
          </rPr>
          <t xml:space="preserve">Hari kerja pertama (Senin sampai Jumat) mulai tanggal bahan siap.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10</xdr:rowOff>
              </xdr:from>
              <xdr:to>
                <xdr:col>1</xdr:col>
                <xdr:colOff>54</xdr:colOff>
                <xdr:row>6</xdr:row>
                <xdr:rowOff>18</xdr:rowOff>
              </xdr:to>
            </anchor>
          </commentPr>
        </mc:Choice>
        <mc:Fallback/>
      </mc:AlternateContent>
    </comment>
    <comment ref="B39" authorId="0">
      <text>
        <r>
          <rPr>
            <sz val="10"/>
            <rFont val="Arial"/>
            <family val="2"/>
          </rPr>
          <t xml:space="preserve">Dihitung dari tanggal mulai produksi sebanyak lama produksi, hanya hari kerja.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10</xdr:rowOff>
              </xdr:from>
              <xdr:to>
                <xdr:col>1</xdr:col>
                <xdr:colOff>54</xdr:colOff>
                <xdr:row>6</xdr:row>
                <xdr:rowOff>18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<sst xmlns="http://schemas.openxmlformats.org/spreadsheetml/2006/main" count="121" uniqueCount="98">
  <si>
    <t xml:space="preserve">Kalkulator Lama Produksi Sekop</t>
  </si>
  <si>
    <t xml:space="preserve">Isi sel berwarna kuning, sel lain terhitung otomatis. Klik sel abu-abu untuk melihat rumusnya di formula bar, atau baca kolom Rumus Excel dan Artinya. 1 dz = 12 pcs.</t>
  </si>
  <si>
    <t xml:space="preserve">Isian dan hasil</t>
  </si>
  <si>
    <t xml:space="preserve">Nilai</t>
  </si>
  <si>
    <t xml:space="preserve">Satuan</t>
  </si>
  <si>
    <t xml:space="preserve">Rumus Excel</t>
  </si>
  <si>
    <t xml:space="preserve">Artinya</t>
  </si>
  <si>
    <t xml:space="preserve">Pesanan yang harus diproduksi</t>
  </si>
  <si>
    <t xml:space="preserve">Papak Crocodille</t>
  </si>
  <si>
    <t xml:space="preserve">dz</t>
  </si>
  <si>
    <t xml:space="preserve">Isi jumlah pesanan atau kekurangan stok jenis sekop ini.</t>
  </si>
  <si>
    <t xml:space="preserve">Lancip Crocodille</t>
  </si>
  <si>
    <t xml:space="preserve">Papak Rees Q</t>
  </si>
  <si>
    <t xml:space="preserve">Lancip Rees Q</t>
  </si>
  <si>
    <t xml:space="preserve">Total pesanan</t>
  </si>
  <si>
    <t xml:space="preserve">Jumlah semua jenis sekop.</t>
  </si>
  <si>
    <t xml:space="preserve">Total pesanan dalam pcs</t>
  </si>
  <si>
    <t xml:space="preserve">pcs</t>
  </si>
  <si>
    <t xml:space="preserve">Total dz dikali 12, karena 1 dz = 12 pcs.</t>
  </si>
  <si>
    <t xml:space="preserve">Bahan baku dan tanggal</t>
  </si>
  <si>
    <t xml:space="preserve">Bahan baku sudah tersedia semua?</t>
  </si>
  <si>
    <t xml:space="preserve">Tidak</t>
  </si>
  <si>
    <t xml:space="preserve">Pilih Ya kalau semua bahan sudah ada di gudang, Tidak kalau ada yang harus dibeli.</t>
  </si>
  <si>
    <t xml:space="preserve">Lama beli bahan bila ada yang kurang</t>
  </si>
  <si>
    <t xml:space="preserve">hari</t>
  </si>
  <si>
    <t xml:space="preserve">Lama bahan paling lama datang setelah dipesan.</t>
  </si>
  <si>
    <t xml:space="preserve">Tanggal mulai perencanaan</t>
  </si>
  <si>
    <t xml:space="preserve">Ganti dengan tanggal yang diinginkan.</t>
  </si>
  <si>
    <t xml:space="preserve">Kapasitas per hari (boleh diubah)</t>
  </si>
  <si>
    <t xml:space="preserve">Cetak kepala papak</t>
  </si>
  <si>
    <t xml:space="preserve">pcs/hari</t>
  </si>
  <si>
    <t xml:space="preserve">Kapasitas tahap ini per hari kerja.</t>
  </si>
  <si>
    <t xml:space="preserve">Cetak kepala lancip</t>
  </si>
  <si>
    <t xml:space="preserve">Handle</t>
  </si>
  <si>
    <t xml:space="preserve">Coating (gabungan semua jenis)</t>
  </si>
  <si>
    <t xml:space="preserve">Rakit + kemas</t>
  </si>
  <si>
    <t xml:space="preserve">dz/hari</t>
  </si>
  <si>
    <t xml:space="preserve">Hasil</t>
  </si>
  <si>
    <t xml:space="preserve">Kepala papak yang dicetak</t>
  </si>
  <si>
    <t xml:space="preserve">(Papak Crocodille + Papak Rees Q) dikali 12.</t>
  </si>
  <si>
    <t xml:space="preserve">Kepala lancip yang dicetak</t>
  </si>
  <si>
    <t xml:space="preserve">(Lancip Crocodille + Lancip Rees Q) dikali 12.</t>
  </si>
  <si>
    <t xml:space="preserve">Handle yang dibuat</t>
  </si>
  <si>
    <t xml:space="preserve">Satu sekop butuh satu handle, jadi sama dengan total pcs.</t>
  </si>
  <si>
    <t xml:space="preserve">Coating mulai hari ke-</t>
  </si>
  <si>
    <t xml:space="preserve">Hari 1 kalau total kepala sudah mencapai kapasitas coating (780 pcs). Kalau belum, mulai hari 2.</t>
  </si>
  <si>
    <t xml:space="preserve">Hari cetak terlama</t>
  </si>
  <si>
    <t xml:space="preserve">Yang paling lama dari cetak papak, cetak lancip, dan handle. Masing-masing = jumlah : kapasitas, dibulatkan ke atas.</t>
  </si>
  <si>
    <t xml:space="preserve">Hari coating</t>
  </si>
  <si>
    <t xml:space="preserve">Total pcs dibagi kapasitas coating, dibulatkan ke atas.</t>
  </si>
  <si>
    <t xml:space="preserve">Hari rakit + kemas</t>
  </si>
  <si>
    <t xml:space="preserve">Total dz dibagi kapasitas rakit + kemas, dibulatkan ke atas.</t>
  </si>
  <si>
    <t xml:space="preserve">Lama produksi (rumus singkat)</t>
  </si>
  <si>
    <t xml:space="preserve">hari kerja</t>
  </si>
  <si>
    <t xml:space="preserve">Hari mulai coating + jumlah hari tahap paling lama (biasanya coating).</t>
  </si>
  <si>
    <t xml:space="preserve">Lama produksi (dari tabel per hari)</t>
  </si>
  <si>
    <t xml:space="preserve">Hari pertama di sheet Hari per Hari ketika semua sekop sudah dirakit dan dikemas. Harus sama dengan baris di atasnya.</t>
  </si>
  <si>
    <t xml:space="preserve">Lama beli bahan</t>
  </si>
  <si>
    <t xml:space="preserve">Nol kalau bahan sudah tersedia. Kalau belum, pakai lama beli bahan.</t>
  </si>
  <si>
    <t xml:space="preserve">Lama total</t>
  </si>
  <si>
    <t xml:space="preserve">Lama beli bahan + lama produksi.</t>
  </si>
  <si>
    <t xml:space="preserve">Bahan siap tanggal</t>
  </si>
  <si>
    <t xml:space="preserve">Tanggal mulai + lama beli bahan (hari kalender).</t>
  </si>
  <si>
    <t xml:space="preserve">Mulai produksi tanggal</t>
  </si>
  <si>
    <t xml:space="preserve">Hari kerja pertama (Senin sampai Jumat) mulai tanggal bahan siap.</t>
  </si>
  <si>
    <t xml:space="preserve">Selesai dikemas tanggal</t>
  </si>
  <si>
    <t xml:space="preserve">Dihitung dari tanggal mulai produksi sebanyak lama produksi, hanya hari kerja.</t>
  </si>
  <si>
    <t xml:space="preserve">Rincian hari per hari (terhitung otomatis dari sheet Kalkulator)</t>
  </si>
  <si>
    <t xml:space="preserve">Hari ke</t>
  </si>
  <si>
    <t xml:space="preserve">Cetak papak kumulatif</t>
  </si>
  <si>
    <t xml:space="preserve">Cetak lancip kumulatif</t>
  </si>
  <si>
    <t xml:space="preserve">Handle kumulatif</t>
  </si>
  <si>
    <t xml:space="preserve">Kepala kumulatif</t>
  </si>
  <si>
    <t xml:space="preserve">Coating kumulatif</t>
  </si>
  <si>
    <t xml:space="preserve">Coating hari ini (pcs)</t>
  </si>
  <si>
    <t xml:space="preserve">Rakit kumulatif (pcs)</t>
  </si>
  <si>
    <t xml:space="preserve">Rakit + kemas hari ini (dz)</t>
  </si>
  <si>
    <t xml:space="preserve">Cetak kepala hari ini (pcs)</t>
  </si>
  <si>
    <t xml:space="preserve">Handle hari ini (pcs)</t>
  </si>
  <si>
    <t xml:space="preserve">Sisa belum jadi (dz)</t>
  </si>
  <si>
    <t xml:space="preserve">Urutan hari kerja produksi.</t>
  </si>
  <si>
    <t xml:space="preserve">Yang lebih kecil dari: total kepala papak, atau kapasitas x hari.</t>
  </si>
  <si>
    <t xml:space="preserve">Yang lebih kecil dari: total kepala lancip, atau kapasitas x hari.</t>
  </si>
  <si>
    <t xml:space="preserve">Yang lebih kecil dari: total handle, atau kapasitas x hari.</t>
  </si>
  <si>
    <t xml:space="preserve">Cetak papak + cetak lancip sampai hari ini.</t>
  </si>
  <si>
    <t xml:space="preserve">Nol sebelum hari mulai coating. Setelahnya: yang terkecil dari total, kapasitas coating x hari berjalan, dan kepala yang sudah dicetak (hari ini bila mulai hari 1, kemarin bila mulai hari 2).</t>
  </si>
  <si>
    <t xml:space="preserve">Coating kumulatif hari ini dikurangi kemarin.</t>
  </si>
  <si>
    <t xml:space="preserve">Mulai sehari setelah coating. Yang terkecil dari total, kapasitas rakit x hari berjalan, hasil coating kemarin, dan handle kemarin.</t>
  </si>
  <si>
    <t xml:space="preserve">Rakit kumulatif hari ini dikurangi kemarin, dibagi 12.</t>
  </si>
  <si>
    <t xml:space="preserve">Kepala kumulatif hari ini dikurangi kemarin.</t>
  </si>
  <si>
    <t xml:space="preserve">Handle kumulatif hari ini dikurangi kemarin.</t>
  </si>
  <si>
    <t xml:space="preserve">(Total pcs dikurangi rakit kumulatif) dibagi 12.</t>
  </si>
  <si>
    <t xml:space="preserve">Grafik per hari (40 hari pertama). Kotak berwarna = tahap itu bekerja hari itu, angkanya jumlah yang dikerjakan.</t>
  </si>
  <si>
    <t xml:space="preserve">Tahap \ Hari ke-</t>
  </si>
  <si>
    <t xml:space="preserve">Cetak kepala (pcs)</t>
  </si>
  <si>
    <t xml:space="preserve">Handle (pcs)</t>
  </si>
  <si>
    <t xml:space="preserve">Coating (pcs)</t>
  </si>
  <si>
    <t xml:space="preserve">Rakit + kemas (dz)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</si>
</sst>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name val="Cambria"/>
      <family val="0"/>
      <charset val="1"/>
    </font>
    <font>
      <sz val="9"/>
      <name val="Consolas"/>
      <family val="0"/>
      <charset val="1"/>
    </font>
    <font>
      <sz val="10"/>
      <name val="Arial"/>
      <family val="2"/>
    </font>
    <font>
      <i val="true"/>
      <sz val="8.5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7E6E6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7E6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3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4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4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C8C8C8"/>
        </patternFill>
      </fill>
    </dxf>
    <dxf>
      <fill>
        <patternFill>
          <bgColor rgb="FF9E9E9E"/>
        </patternFill>
      </fill>
    </dxf>
    <dxf>
      <fill>
        <patternFill>
          <bgColor rgb="FF7F7F7F"/>
        </patternFill>
      </fill>
    </dxf>
  </dxf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C8C8"/>
      <rgbColor rgb="FF7F7F7F"/>
      <rgbColor rgb="FF9999FF"/>
      <rgbColor rgb="FF993366"/>
      <rgbColor rgb="FFFFF2CC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E9E9E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3"/>
    <col collapsed="false" customWidth="true" hidden="false" outlineLevel="0" max="3" min="3" style="0" width="11"/>
    <col collapsed="false" customWidth="true" hidden="false" outlineLevel="0" max="4" min="4" style="0" width="48"/>
    <col collapsed="false" customWidth="true" hidden="false" outlineLevel="0" max="5" min="5" style="0" width="6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4" customFormat="false" ht="15" hidden="false" customHeight="false" outlineLevel="0" collapsed="false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</row>
    <row r="5" customFormat="false" ht="15" hidden="false" customHeight="false" outlineLevel="0" collapsed="false">
      <c r="A5" s="3" t="s">
        <v>7</v>
      </c>
    </row>
    <row r="6" customFormat="false" ht="15" hidden="false" customHeight="false" outlineLevel="0" collapsed="false">
      <c r="A6" s="4" t="s">
        <v>8</v>
      </c>
      <c r="B6" s="5" t="n">
        <v>250</v>
      </c>
      <c r="C6" s="4" t="s">
        <v>9</v>
      </c>
      <c r="D6" s="6"/>
      <c r="E6" s="4" t="s">
        <v>10</v>
      </c>
    </row>
    <row r="7" customFormat="false" ht="15" hidden="false" customHeight="false" outlineLevel="0" collapsed="false">
      <c r="A7" s="4" t="s">
        <v>11</v>
      </c>
      <c r="B7" s="5" t="n">
        <v>125</v>
      </c>
      <c r="C7" s="4" t="s">
        <v>9</v>
      </c>
      <c r="D7" s="6"/>
      <c r="E7" s="4" t="s">
        <v>10</v>
      </c>
    </row>
    <row r="8" customFormat="false" ht="15" hidden="false" customHeight="false" outlineLevel="0" collapsed="false">
      <c r="A8" s="4" t="s">
        <v>12</v>
      </c>
      <c r="B8" s="5" t="n">
        <v>375</v>
      </c>
      <c r="C8" s="4" t="s">
        <v>9</v>
      </c>
      <c r="D8" s="6"/>
      <c r="E8" s="4" t="s">
        <v>10</v>
      </c>
    </row>
    <row r="9" customFormat="false" ht="15" hidden="false" customHeight="false" outlineLevel="0" collapsed="false">
      <c r="A9" s="4" t="s">
        <v>13</v>
      </c>
      <c r="B9" s="5" t="n">
        <v>250</v>
      </c>
      <c r="C9" s="4" t="s">
        <v>9</v>
      </c>
      <c r="D9" s="6"/>
      <c r="E9" s="4" t="s">
        <v>10</v>
      </c>
    </row>
    <row r="10" customFormat="false" ht="15" hidden="false" customHeight="false" outlineLevel="0" collapsed="false">
      <c r="A10" s="7" t="s">
        <v>14</v>
      </c>
      <c r="B10" s="8" t="n">
        <f aca="false">SUM(B6:B9)</f>
        <v>1000</v>
      </c>
      <c r="C10" s="4" t="s">
        <v>9</v>
      </c>
      <c r="D10" s="6" t="str">
        <f aca="false">_xlfn.FORMULATEXT(B10)</f>
        <v>=SUM(B6:B9)</v>
      </c>
      <c r="E10" s="4" t="s">
        <v>15</v>
      </c>
    </row>
    <row r="11" customFormat="false" ht="15" hidden="false" customHeight="false" outlineLevel="0" collapsed="false">
      <c r="A11" s="4" t="s">
        <v>16</v>
      </c>
      <c r="B11" s="9" t="n">
        <f aca="false">B10*12</f>
        <v>12000</v>
      </c>
      <c r="C11" s="4" t="s">
        <v>17</v>
      </c>
      <c r="D11" s="6" t="str">
        <f aca="false">_xlfn.FORMULATEXT(B11)</f>
        <v>=B10*12</v>
      </c>
      <c r="E11" s="4" t="s">
        <v>18</v>
      </c>
    </row>
    <row r="13" customFormat="false" ht="15" hidden="false" customHeight="false" outlineLevel="0" collapsed="false">
      <c r="A13" s="3" t="s">
        <v>19</v>
      </c>
    </row>
    <row r="14" customFormat="false" ht="24.05" hidden="false" customHeight="false" outlineLevel="0" collapsed="false">
      <c r="A14" s="4" t="s">
        <v>20</v>
      </c>
      <c r="B14" s="10" t="s">
        <v>21</v>
      </c>
      <c r="C14" s="4"/>
      <c r="D14" s="6"/>
      <c r="E14" s="4" t="s">
        <v>22</v>
      </c>
    </row>
    <row r="15" customFormat="false" ht="15" hidden="false" customHeight="false" outlineLevel="0" collapsed="false">
      <c r="A15" s="4" t="s">
        <v>23</v>
      </c>
      <c r="B15" s="5" t="n">
        <v>14</v>
      </c>
      <c r="C15" s="4" t="s">
        <v>24</v>
      </c>
      <c r="D15" s="6"/>
      <c r="E15" s="4" t="s">
        <v>25</v>
      </c>
    </row>
    <row r="16" customFormat="false" ht="15" hidden="false" customHeight="false" outlineLevel="0" collapsed="false">
      <c r="A16" s="4" t="s">
        <v>26</v>
      </c>
      <c r="B16" s="11" t="n">
        <f aca="false">DATE(2026,10,15)</f>
        <v>46310</v>
      </c>
      <c r="C16" s="4"/>
      <c r="D16" s="6"/>
      <c r="E16" s="4" t="s">
        <v>27</v>
      </c>
    </row>
    <row r="18" customFormat="false" ht="15" hidden="false" customHeight="false" outlineLevel="0" collapsed="false">
      <c r="A18" s="3" t="s">
        <v>28</v>
      </c>
    </row>
    <row r="19" customFormat="false" ht="15" hidden="false" customHeight="false" outlineLevel="0" collapsed="false">
      <c r="A19" s="4" t="s">
        <v>29</v>
      </c>
      <c r="B19" s="5" t="n">
        <v>1200</v>
      </c>
      <c r="C19" s="4" t="s">
        <v>30</v>
      </c>
      <c r="D19" s="6"/>
      <c r="E19" s="4" t="s">
        <v>31</v>
      </c>
    </row>
    <row r="20" customFormat="false" ht="15" hidden="false" customHeight="false" outlineLevel="0" collapsed="false">
      <c r="A20" s="4" t="s">
        <v>32</v>
      </c>
      <c r="B20" s="5" t="n">
        <v>1200</v>
      </c>
      <c r="C20" s="4" t="s">
        <v>30</v>
      </c>
      <c r="D20" s="6"/>
      <c r="E20" s="4" t="s">
        <v>31</v>
      </c>
    </row>
    <row r="21" customFormat="false" ht="15" hidden="false" customHeight="false" outlineLevel="0" collapsed="false">
      <c r="A21" s="4" t="s">
        <v>33</v>
      </c>
      <c r="B21" s="5" t="n">
        <v>1200</v>
      </c>
      <c r="C21" s="4" t="s">
        <v>30</v>
      </c>
      <c r="D21" s="6"/>
      <c r="E21" s="4" t="s">
        <v>31</v>
      </c>
    </row>
    <row r="22" customFormat="false" ht="15" hidden="false" customHeight="false" outlineLevel="0" collapsed="false">
      <c r="A22" s="4" t="s">
        <v>34</v>
      </c>
      <c r="B22" s="5" t="n">
        <v>780</v>
      </c>
      <c r="C22" s="4" t="s">
        <v>30</v>
      </c>
      <c r="D22" s="6"/>
      <c r="E22" s="4" t="s">
        <v>31</v>
      </c>
    </row>
    <row r="23" customFormat="false" ht="15" hidden="false" customHeight="false" outlineLevel="0" collapsed="false">
      <c r="A23" s="4" t="s">
        <v>35</v>
      </c>
      <c r="B23" s="5" t="n">
        <v>80</v>
      </c>
      <c r="C23" s="4" t="s">
        <v>36</v>
      </c>
      <c r="D23" s="6"/>
      <c r="E23" s="4" t="s">
        <v>31</v>
      </c>
    </row>
    <row r="25" customFormat="false" ht="15" hidden="false" customHeight="false" outlineLevel="0" collapsed="false">
      <c r="A25" s="3" t="s">
        <v>37</v>
      </c>
    </row>
    <row r="26" customFormat="false" ht="15" hidden="false" customHeight="false" outlineLevel="0" collapsed="false">
      <c r="A26" s="4" t="s">
        <v>38</v>
      </c>
      <c r="B26" s="12" t="n">
        <f aca="false">(B6+B8)*12</f>
        <v>7500</v>
      </c>
      <c r="C26" s="4" t="s">
        <v>17</v>
      </c>
      <c r="D26" s="6" t="str">
        <f aca="false">_xlfn.FORMULATEXT(B26)</f>
        <v>=(B6+B8)*12</v>
      </c>
      <c r="E26" s="4" t="s">
        <v>39</v>
      </c>
    </row>
    <row r="27" customFormat="false" ht="15" hidden="false" customHeight="false" outlineLevel="0" collapsed="false">
      <c r="A27" s="4" t="s">
        <v>40</v>
      </c>
      <c r="B27" s="12" t="n">
        <f aca="false">(B7+B9)*12</f>
        <v>4500</v>
      </c>
      <c r="C27" s="4" t="s">
        <v>17</v>
      </c>
      <c r="D27" s="6" t="str">
        <f aca="false">_xlfn.FORMULATEXT(B27)</f>
        <v>=(B7+B9)*12</v>
      </c>
      <c r="E27" s="4" t="s">
        <v>41</v>
      </c>
    </row>
    <row r="28" customFormat="false" ht="15" hidden="false" customHeight="false" outlineLevel="0" collapsed="false">
      <c r="A28" s="4" t="s">
        <v>42</v>
      </c>
      <c r="B28" s="12" t="n">
        <f aca="false">B11</f>
        <v>12000</v>
      </c>
      <c r="C28" s="4" t="s">
        <v>17</v>
      </c>
      <c r="D28" s="6" t="str">
        <f aca="false">_xlfn.FORMULATEXT(B28)</f>
        <v>=B11</v>
      </c>
      <c r="E28" s="4" t="s">
        <v>43</v>
      </c>
    </row>
    <row r="29" customFormat="false" ht="24.05" hidden="false" customHeight="false" outlineLevel="0" collapsed="false">
      <c r="A29" s="4" t="s">
        <v>44</v>
      </c>
      <c r="B29" s="12" t="n">
        <f aca="false">IF(B11&gt;=B22,1,2)</f>
        <v>1</v>
      </c>
      <c r="C29" s="4"/>
      <c r="D29" s="6" t="str">
        <f aca="false">_xlfn.FORMULATEXT(B29)</f>
        <v>=IF(B11&gt;=B22,1,2)</v>
      </c>
      <c r="E29" s="4" t="s">
        <v>45</v>
      </c>
    </row>
    <row r="30" customFormat="false" ht="24.05" hidden="false" customHeight="false" outlineLevel="0" collapsed="false">
      <c r="A30" s="4" t="s">
        <v>46</v>
      </c>
      <c r="B30" s="12" t="n">
        <f aca="false">MAX(ROUNDUP(B26/B19,0),ROUNDUP(B27/B20,0),ROUNDUP(B28/B21,0))</f>
        <v>10</v>
      </c>
      <c r="C30" s="4" t="s">
        <v>24</v>
      </c>
      <c r="D30" s="6" t="str">
        <f aca="false">_xlfn.FORMULATEXT(B30)</f>
        <v>=MAX(ROUNDUP(B26/B19,0),ROUNDUP(B27/B20,0),ROUNDUP(B28/B21,0))</v>
      </c>
      <c r="E30" s="4" t="s">
        <v>47</v>
      </c>
    </row>
    <row r="31" customFormat="false" ht="15" hidden="false" customHeight="false" outlineLevel="0" collapsed="false">
      <c r="A31" s="4" t="s">
        <v>48</v>
      </c>
      <c r="B31" s="12" t="n">
        <f aca="false">ROUNDUP(B11/B22,0)</f>
        <v>16</v>
      </c>
      <c r="C31" s="4" t="s">
        <v>24</v>
      </c>
      <c r="D31" s="6" t="str">
        <f aca="false">_xlfn.FORMULATEXT(B31)</f>
        <v>=ROUNDUP(B11/B22,0)</v>
      </c>
      <c r="E31" s="4" t="s">
        <v>49</v>
      </c>
    </row>
    <row r="32" customFormat="false" ht="15" hidden="false" customHeight="false" outlineLevel="0" collapsed="false">
      <c r="A32" s="4" t="s">
        <v>50</v>
      </c>
      <c r="B32" s="12" t="n">
        <f aca="false">ROUNDUP(B10/B23,0)</f>
        <v>13</v>
      </c>
      <c r="C32" s="4" t="s">
        <v>24</v>
      </c>
      <c r="D32" s="6" t="str">
        <f aca="false">_xlfn.FORMULATEXT(B32)</f>
        <v>=ROUNDUP(B10/B23,0)</v>
      </c>
      <c r="E32" s="4" t="s">
        <v>51</v>
      </c>
    </row>
    <row r="33" customFormat="false" ht="15" hidden="false" customHeight="false" outlineLevel="0" collapsed="false">
      <c r="A33" s="4" t="s">
        <v>52</v>
      </c>
      <c r="B33" s="12" t="n">
        <f aca="false">B29+MAX(B30:B32)</f>
        <v>17</v>
      </c>
      <c r="C33" s="4" t="s">
        <v>53</v>
      </c>
      <c r="D33" s="6" t="str">
        <f aca="false">_xlfn.FORMULATEXT(B33)</f>
        <v>=B29+MAX(B30:B32)</v>
      </c>
      <c r="E33" s="4" t="s">
        <v>54</v>
      </c>
    </row>
    <row r="34" customFormat="false" ht="24.05" hidden="false" customHeight="false" outlineLevel="0" collapsed="false">
      <c r="A34" s="7" t="s">
        <v>55</v>
      </c>
      <c r="B34" s="13" t="n">
        <f aca="false">COUNTIF('Hari per Hari'!H5:H124,"&lt;"&amp;B11)+1</f>
        <v>17</v>
      </c>
      <c r="C34" s="4" t="s">
        <v>53</v>
      </c>
      <c r="D34" s="6" t="str">
        <f aca="false">_xlfn.FORMULATEXT(B34)</f>
        <v>=COUNTIF($'Hari per Hari'.H5:H124,"&lt;"&amp;B11)+1</v>
      </c>
      <c r="E34" s="4" t="s">
        <v>56</v>
      </c>
    </row>
    <row r="35" customFormat="false" ht="15" hidden="false" customHeight="false" outlineLevel="0" collapsed="false">
      <c r="A35" s="4" t="s">
        <v>57</v>
      </c>
      <c r="B35" s="12" t="n">
        <f aca="false">IF(B14="Ya",0,B15)</f>
        <v>14</v>
      </c>
      <c r="C35" s="4" t="s">
        <v>24</v>
      </c>
      <c r="D35" s="6" t="str">
        <f aca="false">_xlfn.FORMULATEXT(B35)</f>
        <v>=IF(B14="Ya",0,B15)</v>
      </c>
      <c r="E35" s="4" t="s">
        <v>58</v>
      </c>
    </row>
    <row r="36" customFormat="false" ht="15" hidden="false" customHeight="false" outlineLevel="0" collapsed="false">
      <c r="A36" s="7" t="s">
        <v>59</v>
      </c>
      <c r="B36" s="13" t="n">
        <f aca="false">B35+B34</f>
        <v>31</v>
      </c>
      <c r="C36" s="4" t="s">
        <v>24</v>
      </c>
      <c r="D36" s="6" t="str">
        <f aca="false">_xlfn.FORMULATEXT(B36)</f>
        <v>=B35+B34</v>
      </c>
      <c r="E36" s="4" t="s">
        <v>60</v>
      </c>
    </row>
    <row r="37" customFormat="false" ht="15" hidden="false" customHeight="false" outlineLevel="0" collapsed="false">
      <c r="A37" s="4" t="s">
        <v>61</v>
      </c>
      <c r="B37" s="14" t="n">
        <f aca="false">B16+B35</f>
        <v>46324</v>
      </c>
      <c r="C37" s="4"/>
      <c r="D37" s="6" t="str">
        <f aca="false">_xlfn.FORMULATEXT(B37)</f>
        <v>=B16+B35</v>
      </c>
      <c r="E37" s="4" t="s">
        <v>62</v>
      </c>
    </row>
    <row r="38" customFormat="false" ht="15" hidden="false" customHeight="false" outlineLevel="0" collapsed="false">
      <c r="A38" s="4" t="s">
        <v>63</v>
      </c>
      <c r="B38" s="14" t="n">
        <f aca="false">WORKDAY(B37-1,1)</f>
        <v>46324</v>
      </c>
      <c r="C38" s="4"/>
      <c r="D38" s="6" t="str">
        <f aca="false">_xlfn.FORMULATEXT(B38)</f>
        <v>=WORKDAY(B37-1,1)</v>
      </c>
      <c r="E38" s="4" t="s">
        <v>64</v>
      </c>
    </row>
    <row r="39" customFormat="false" ht="24.05" hidden="false" customHeight="false" outlineLevel="0" collapsed="false">
      <c r="A39" s="7" t="s">
        <v>65</v>
      </c>
      <c r="B39" s="15" t="n">
        <f aca="false">WORKDAY(B38,B34-1)</f>
        <v>46346</v>
      </c>
      <c r="C39" s="4"/>
      <c r="D39" s="6" t="str">
        <f aca="false">_xlfn.FORMULATEXT(B39)</f>
        <v>=WORKDAY(B38,B34-1)</v>
      </c>
      <c r="E39" s="4" t="s">
        <v>66</v>
      </c>
    </row>
  </sheetData>
  <dataValidations count="1">
    <dataValidation allowBlank="false" errorStyle="stop" operator="between" showDropDown="false" showErrorMessage="false" showInputMessage="false" sqref="B14" type="list">
      <formula1>"Ya,Tidak"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4"/>
    <col collapsed="false" customWidth="true" hidden="false" outlineLevel="0" max="5" min="4" style="0" width="13"/>
    <col collapsed="false" customWidth="true" hidden="false" outlineLevel="0" max="6" min="6" style="0" width="18"/>
    <col collapsed="false" customWidth="true" hidden="false" outlineLevel="0" max="7" min="7" style="0" width="13"/>
    <col collapsed="false" customWidth="true" hidden="false" outlineLevel="0" max="8" min="8" style="0" width="16"/>
    <col collapsed="false" customWidth="true" hidden="false" outlineLevel="0" max="10" min="9" style="0" width="14"/>
    <col collapsed="false" customWidth="true" hidden="false" outlineLevel="0" max="12" min="11" style="0" width="13"/>
  </cols>
  <sheetData>
    <row r="1" customFormat="false" ht="15" hidden="false" customHeight="false" outlineLevel="0" collapsed="false">
      <c r="A1" s="3" t="s">
        <v>67</v>
      </c>
    </row>
    <row r="3" customFormat="false" ht="42" hidden="false" customHeight="true" outlineLevel="0" collapsed="false">
      <c r="A3" s="16" t="s">
        <v>68</v>
      </c>
      <c r="B3" s="16" t="s">
        <v>69</v>
      </c>
      <c r="C3" s="16" t="s">
        <v>70</v>
      </c>
      <c r="D3" s="16" t="s">
        <v>71</v>
      </c>
      <c r="E3" s="16" t="s">
        <v>72</v>
      </c>
      <c r="F3" s="16" t="s">
        <v>73</v>
      </c>
      <c r="G3" s="16" t="s">
        <v>74</v>
      </c>
      <c r="H3" s="16" t="s">
        <v>75</v>
      </c>
      <c r="I3" s="16" t="s">
        <v>76</v>
      </c>
      <c r="J3" s="16" t="s">
        <v>77</v>
      </c>
      <c r="K3" s="16" t="s">
        <v>78</v>
      </c>
      <c r="L3" s="16" t="s">
        <v>79</v>
      </c>
    </row>
    <row r="4" customFormat="false" ht="105" hidden="false" customHeight="true" outlineLevel="0" collapsed="false">
      <c r="A4" s="17" t="s">
        <v>80</v>
      </c>
      <c r="B4" s="17" t="s">
        <v>81</v>
      </c>
      <c r="C4" s="17" t="s">
        <v>82</v>
      </c>
      <c r="D4" s="17" t="s">
        <v>83</v>
      </c>
      <c r="E4" s="17" t="s">
        <v>84</v>
      </c>
      <c r="F4" s="17" t="s">
        <v>85</v>
      </c>
      <c r="G4" s="17" t="s">
        <v>86</v>
      </c>
      <c r="H4" s="17" t="s">
        <v>87</v>
      </c>
      <c r="I4" s="17" t="s">
        <v>88</v>
      </c>
      <c r="J4" s="17" t="s">
        <v>89</v>
      </c>
      <c r="K4" s="17" t="s">
        <v>90</v>
      </c>
      <c r="L4" s="17" t="s">
        <v>91</v>
      </c>
    </row>
    <row r="5" customFormat="false" ht="15" hidden="false" customHeight="false" outlineLevel="0" collapsed="false">
      <c r="A5" s="18" t="n">
        <v>1</v>
      </c>
      <c r="B5" s="18" t="n">
        <f aca="false">MIN(Kalkulator!$B$26,Kalkulator!$B$19*A5)</f>
        <v>1200</v>
      </c>
      <c r="C5" s="18" t="n">
        <f aca="false">MIN(Kalkulator!$B$27,Kalkulator!$B$20*A5)</f>
        <v>1200</v>
      </c>
      <c r="D5" s="18" t="n">
        <f aca="false">MIN(Kalkulator!$B$28,Kalkulator!$B$21*A5)</f>
        <v>1200</v>
      </c>
      <c r="E5" s="18" t="n">
        <f aca="false">B5+C5</f>
        <v>2400</v>
      </c>
      <c r="F5" s="18" t="n">
        <f aca="false">IF(A5&lt;Kalkulator!$B$29,0,MIN(Kalkulator!$B$11,Kalkulator!$B$22*(A5-Kalkulator!$B$29+1),IF(Kalkulator!$B$29=1,E5,0)))</f>
        <v>780</v>
      </c>
      <c r="G5" s="18" t="n">
        <f aca="false">F5-0</f>
        <v>780</v>
      </c>
      <c r="H5" s="18" t="n">
        <f aca="false">IF(A5&lt;=Kalkulator!$B$29,0,MIN(Kalkulator!$B$11,Kalkulator!$B$23*12*(A5-Kalkulator!$B$29),0,0))</f>
        <v>0</v>
      </c>
      <c r="I5" s="18" t="n">
        <f aca="false">(H5-0)/12</f>
        <v>0</v>
      </c>
      <c r="J5" s="18" t="n">
        <f aca="false">E5-0</f>
        <v>2400</v>
      </c>
      <c r="K5" s="18" t="n">
        <f aca="false">D5-0</f>
        <v>1200</v>
      </c>
      <c r="L5" s="18" t="n">
        <f aca="false">(Kalkulator!$B$11-H5)/12</f>
        <v>1000</v>
      </c>
    </row>
    <row r="6" customFormat="false" ht="15" hidden="false" customHeight="false" outlineLevel="0" collapsed="false">
      <c r="A6" s="18" t="n">
        <v>2</v>
      </c>
      <c r="B6" s="18" t="n">
        <f aca="false">MIN(Kalkulator!$B$26,Kalkulator!$B$19*A6)</f>
        <v>2400</v>
      </c>
      <c r="C6" s="18" t="n">
        <f aca="false">MIN(Kalkulator!$B$27,Kalkulator!$B$20*A6)</f>
        <v>2400</v>
      </c>
      <c r="D6" s="18" t="n">
        <f aca="false">MIN(Kalkulator!$B$28,Kalkulator!$B$21*A6)</f>
        <v>2400</v>
      </c>
      <c r="E6" s="18" t="n">
        <f aca="false">B6+C6</f>
        <v>4800</v>
      </c>
      <c r="F6" s="18" t="n">
        <f aca="false">IF(A6&lt;Kalkulator!$B$29,0,MIN(Kalkulator!$B$11,Kalkulator!$B$22*(A6-Kalkulator!$B$29+1),IF(Kalkulator!$B$29=1,E6,E5)))</f>
        <v>1560</v>
      </c>
      <c r="G6" s="18" t="n">
        <f aca="false">F6-F5</f>
        <v>780</v>
      </c>
      <c r="H6" s="18" t="n">
        <f aca="false">IF(A6&lt;=Kalkulator!$B$29,0,MIN(Kalkulator!$B$11,Kalkulator!$B$23*12*(A6-Kalkulator!$B$29),F5,D5))</f>
        <v>780</v>
      </c>
      <c r="I6" s="18" t="n">
        <f aca="false">(H6-H5)/12</f>
        <v>65</v>
      </c>
      <c r="J6" s="18" t="n">
        <f aca="false">E6-E5</f>
        <v>2400</v>
      </c>
      <c r="K6" s="18" t="n">
        <f aca="false">D6-D5</f>
        <v>1200</v>
      </c>
      <c r="L6" s="18" t="n">
        <f aca="false">(Kalkulator!$B$11-H6)/12</f>
        <v>935</v>
      </c>
    </row>
    <row r="7" customFormat="false" ht="15" hidden="false" customHeight="false" outlineLevel="0" collapsed="false">
      <c r="A7" s="18" t="n">
        <v>3</v>
      </c>
      <c r="B7" s="18" t="n">
        <f aca="false">MIN(Kalkulator!$B$26,Kalkulator!$B$19*A7)</f>
        <v>3600</v>
      </c>
      <c r="C7" s="18" t="n">
        <f aca="false">MIN(Kalkulator!$B$27,Kalkulator!$B$20*A7)</f>
        <v>3600</v>
      </c>
      <c r="D7" s="18" t="n">
        <f aca="false">MIN(Kalkulator!$B$28,Kalkulator!$B$21*A7)</f>
        <v>3600</v>
      </c>
      <c r="E7" s="18" t="n">
        <f aca="false">B7+C7</f>
        <v>7200</v>
      </c>
      <c r="F7" s="18" t="n">
        <f aca="false">IF(A7&lt;Kalkulator!$B$29,0,MIN(Kalkulator!$B$11,Kalkulator!$B$22*(A7-Kalkulator!$B$29+1),IF(Kalkulator!$B$29=1,E7,E6)))</f>
        <v>2340</v>
      </c>
      <c r="G7" s="18" t="n">
        <f aca="false">F7-F6</f>
        <v>780</v>
      </c>
      <c r="H7" s="18" t="n">
        <f aca="false">IF(A7&lt;=Kalkulator!$B$29,0,MIN(Kalkulator!$B$11,Kalkulator!$B$23*12*(A7-Kalkulator!$B$29),F6,D6))</f>
        <v>1560</v>
      </c>
      <c r="I7" s="18" t="n">
        <f aca="false">(H7-H6)/12</f>
        <v>65</v>
      </c>
      <c r="J7" s="18" t="n">
        <f aca="false">E7-E6</f>
        <v>2400</v>
      </c>
      <c r="K7" s="18" t="n">
        <f aca="false">D7-D6</f>
        <v>1200</v>
      </c>
      <c r="L7" s="18" t="n">
        <f aca="false">(Kalkulator!$B$11-H7)/12</f>
        <v>870</v>
      </c>
    </row>
    <row r="8" customFormat="false" ht="15" hidden="false" customHeight="false" outlineLevel="0" collapsed="false">
      <c r="A8" s="18" t="n">
        <v>4</v>
      </c>
      <c r="B8" s="18" t="n">
        <f aca="false">MIN(Kalkulator!$B$26,Kalkulator!$B$19*A8)</f>
        <v>4800</v>
      </c>
      <c r="C8" s="18" t="n">
        <f aca="false">MIN(Kalkulator!$B$27,Kalkulator!$B$20*A8)</f>
        <v>4500</v>
      </c>
      <c r="D8" s="18" t="n">
        <f aca="false">MIN(Kalkulator!$B$28,Kalkulator!$B$21*A8)</f>
        <v>4800</v>
      </c>
      <c r="E8" s="18" t="n">
        <f aca="false">B8+C8</f>
        <v>9300</v>
      </c>
      <c r="F8" s="18" t="n">
        <f aca="false">IF(A8&lt;Kalkulator!$B$29,0,MIN(Kalkulator!$B$11,Kalkulator!$B$22*(A8-Kalkulator!$B$29+1),IF(Kalkulator!$B$29=1,E8,E7)))</f>
        <v>3120</v>
      </c>
      <c r="G8" s="18" t="n">
        <f aca="false">F8-F7</f>
        <v>780</v>
      </c>
      <c r="H8" s="18" t="n">
        <f aca="false">IF(A8&lt;=Kalkulator!$B$29,0,MIN(Kalkulator!$B$11,Kalkulator!$B$23*12*(A8-Kalkulator!$B$29),F7,D7))</f>
        <v>2340</v>
      </c>
      <c r="I8" s="18" t="n">
        <f aca="false">(H8-H7)/12</f>
        <v>65</v>
      </c>
      <c r="J8" s="18" t="n">
        <f aca="false">E8-E7</f>
        <v>2100</v>
      </c>
      <c r="K8" s="18" t="n">
        <f aca="false">D8-D7</f>
        <v>1200</v>
      </c>
      <c r="L8" s="18" t="n">
        <f aca="false">(Kalkulator!$B$11-H8)/12</f>
        <v>805</v>
      </c>
    </row>
    <row r="9" customFormat="false" ht="15" hidden="false" customHeight="false" outlineLevel="0" collapsed="false">
      <c r="A9" s="18" t="n">
        <v>5</v>
      </c>
      <c r="B9" s="18" t="n">
        <f aca="false">MIN(Kalkulator!$B$26,Kalkulator!$B$19*A9)</f>
        <v>6000</v>
      </c>
      <c r="C9" s="18" t="n">
        <f aca="false">MIN(Kalkulator!$B$27,Kalkulator!$B$20*A9)</f>
        <v>4500</v>
      </c>
      <c r="D9" s="18" t="n">
        <f aca="false">MIN(Kalkulator!$B$28,Kalkulator!$B$21*A9)</f>
        <v>6000</v>
      </c>
      <c r="E9" s="18" t="n">
        <f aca="false">B9+C9</f>
        <v>10500</v>
      </c>
      <c r="F9" s="18" t="n">
        <f aca="false">IF(A9&lt;Kalkulator!$B$29,0,MIN(Kalkulator!$B$11,Kalkulator!$B$22*(A9-Kalkulator!$B$29+1),IF(Kalkulator!$B$29=1,E9,E8)))</f>
        <v>3900</v>
      </c>
      <c r="G9" s="18" t="n">
        <f aca="false">F9-F8</f>
        <v>780</v>
      </c>
      <c r="H9" s="18" t="n">
        <f aca="false">IF(A9&lt;=Kalkulator!$B$29,0,MIN(Kalkulator!$B$11,Kalkulator!$B$23*12*(A9-Kalkulator!$B$29),F8,D8))</f>
        <v>3120</v>
      </c>
      <c r="I9" s="18" t="n">
        <f aca="false">(H9-H8)/12</f>
        <v>65</v>
      </c>
      <c r="J9" s="18" t="n">
        <f aca="false">E9-E8</f>
        <v>1200</v>
      </c>
      <c r="K9" s="18" t="n">
        <f aca="false">D9-D8</f>
        <v>1200</v>
      </c>
      <c r="L9" s="18" t="n">
        <f aca="false">(Kalkulator!$B$11-H9)/12</f>
        <v>740</v>
      </c>
    </row>
    <row r="10" customFormat="false" ht="15" hidden="false" customHeight="false" outlineLevel="0" collapsed="false">
      <c r="A10" s="18" t="n">
        <v>6</v>
      </c>
      <c r="B10" s="18" t="n">
        <f aca="false">MIN(Kalkulator!$B$26,Kalkulator!$B$19*A10)</f>
        <v>7200</v>
      </c>
      <c r="C10" s="18" t="n">
        <f aca="false">MIN(Kalkulator!$B$27,Kalkulator!$B$20*A10)</f>
        <v>4500</v>
      </c>
      <c r="D10" s="18" t="n">
        <f aca="false">MIN(Kalkulator!$B$28,Kalkulator!$B$21*A10)</f>
        <v>7200</v>
      </c>
      <c r="E10" s="18" t="n">
        <f aca="false">B10+C10</f>
        <v>11700</v>
      </c>
      <c r="F10" s="18" t="n">
        <f aca="false">IF(A10&lt;Kalkulator!$B$29,0,MIN(Kalkulator!$B$11,Kalkulator!$B$22*(A10-Kalkulator!$B$29+1),IF(Kalkulator!$B$29=1,E10,E9)))</f>
        <v>4680</v>
      </c>
      <c r="G10" s="18" t="n">
        <f aca="false">F10-F9</f>
        <v>780</v>
      </c>
      <c r="H10" s="18" t="n">
        <f aca="false">IF(A10&lt;=Kalkulator!$B$29,0,MIN(Kalkulator!$B$11,Kalkulator!$B$23*12*(A10-Kalkulator!$B$29),F9,D9))</f>
        <v>3900</v>
      </c>
      <c r="I10" s="18" t="n">
        <f aca="false">(H10-H9)/12</f>
        <v>65</v>
      </c>
      <c r="J10" s="18" t="n">
        <f aca="false">E10-E9</f>
        <v>1200</v>
      </c>
      <c r="K10" s="18" t="n">
        <f aca="false">D10-D9</f>
        <v>1200</v>
      </c>
      <c r="L10" s="18" t="n">
        <f aca="false">(Kalkulator!$B$11-H10)/12</f>
        <v>675</v>
      </c>
    </row>
    <row r="11" customFormat="false" ht="15" hidden="false" customHeight="false" outlineLevel="0" collapsed="false">
      <c r="A11" s="18" t="n">
        <v>7</v>
      </c>
      <c r="B11" s="18" t="n">
        <f aca="false">MIN(Kalkulator!$B$26,Kalkulator!$B$19*A11)</f>
        <v>7500</v>
      </c>
      <c r="C11" s="18" t="n">
        <f aca="false">MIN(Kalkulator!$B$27,Kalkulator!$B$20*A11)</f>
        <v>4500</v>
      </c>
      <c r="D11" s="18" t="n">
        <f aca="false">MIN(Kalkulator!$B$28,Kalkulator!$B$21*A11)</f>
        <v>8400</v>
      </c>
      <c r="E11" s="18" t="n">
        <f aca="false">B11+C11</f>
        <v>12000</v>
      </c>
      <c r="F11" s="18" t="n">
        <f aca="false">IF(A11&lt;Kalkulator!$B$29,0,MIN(Kalkulator!$B$11,Kalkulator!$B$22*(A11-Kalkulator!$B$29+1),IF(Kalkulator!$B$29=1,E11,E10)))</f>
        <v>5460</v>
      </c>
      <c r="G11" s="18" t="n">
        <f aca="false">F11-F10</f>
        <v>780</v>
      </c>
      <c r="H11" s="18" t="n">
        <f aca="false">IF(A11&lt;=Kalkulator!$B$29,0,MIN(Kalkulator!$B$11,Kalkulator!$B$23*12*(A11-Kalkulator!$B$29),F10,D10))</f>
        <v>4680</v>
      </c>
      <c r="I11" s="18" t="n">
        <f aca="false">(H11-H10)/12</f>
        <v>65</v>
      </c>
      <c r="J11" s="18" t="n">
        <f aca="false">E11-E10</f>
        <v>300</v>
      </c>
      <c r="K11" s="18" t="n">
        <f aca="false">D11-D10</f>
        <v>1200</v>
      </c>
      <c r="L11" s="18" t="n">
        <f aca="false">(Kalkulator!$B$11-H11)/12</f>
        <v>610</v>
      </c>
    </row>
    <row r="12" customFormat="false" ht="15" hidden="false" customHeight="false" outlineLevel="0" collapsed="false">
      <c r="A12" s="18" t="n">
        <v>8</v>
      </c>
      <c r="B12" s="18" t="n">
        <f aca="false">MIN(Kalkulator!$B$26,Kalkulator!$B$19*A12)</f>
        <v>7500</v>
      </c>
      <c r="C12" s="18" t="n">
        <f aca="false">MIN(Kalkulator!$B$27,Kalkulator!$B$20*A12)</f>
        <v>4500</v>
      </c>
      <c r="D12" s="18" t="n">
        <f aca="false">MIN(Kalkulator!$B$28,Kalkulator!$B$21*A12)</f>
        <v>9600</v>
      </c>
      <c r="E12" s="18" t="n">
        <f aca="false">B12+C12</f>
        <v>12000</v>
      </c>
      <c r="F12" s="18" t="n">
        <f aca="false">IF(A12&lt;Kalkulator!$B$29,0,MIN(Kalkulator!$B$11,Kalkulator!$B$22*(A12-Kalkulator!$B$29+1),IF(Kalkulator!$B$29=1,E12,E11)))</f>
        <v>6240</v>
      </c>
      <c r="G12" s="18" t="n">
        <f aca="false">F12-F11</f>
        <v>780</v>
      </c>
      <c r="H12" s="18" t="n">
        <f aca="false">IF(A12&lt;=Kalkulator!$B$29,0,MIN(Kalkulator!$B$11,Kalkulator!$B$23*12*(A12-Kalkulator!$B$29),F11,D11))</f>
        <v>5460</v>
      </c>
      <c r="I12" s="18" t="n">
        <f aca="false">(H12-H11)/12</f>
        <v>65</v>
      </c>
      <c r="J12" s="18" t="n">
        <f aca="false">E12-E11</f>
        <v>0</v>
      </c>
      <c r="K12" s="18" t="n">
        <f aca="false">D12-D11</f>
        <v>1200</v>
      </c>
      <c r="L12" s="18" t="n">
        <f aca="false">(Kalkulator!$B$11-H12)/12</f>
        <v>545</v>
      </c>
    </row>
    <row r="13" customFormat="false" ht="15" hidden="false" customHeight="false" outlineLevel="0" collapsed="false">
      <c r="A13" s="18" t="n">
        <v>9</v>
      </c>
      <c r="B13" s="18" t="n">
        <f aca="false">MIN(Kalkulator!$B$26,Kalkulator!$B$19*A13)</f>
        <v>7500</v>
      </c>
      <c r="C13" s="18" t="n">
        <f aca="false">MIN(Kalkulator!$B$27,Kalkulator!$B$20*A13)</f>
        <v>4500</v>
      </c>
      <c r="D13" s="18" t="n">
        <f aca="false">MIN(Kalkulator!$B$28,Kalkulator!$B$21*A13)</f>
        <v>10800</v>
      </c>
      <c r="E13" s="18" t="n">
        <f aca="false">B13+C13</f>
        <v>12000</v>
      </c>
      <c r="F13" s="18" t="n">
        <f aca="false">IF(A13&lt;Kalkulator!$B$29,0,MIN(Kalkulator!$B$11,Kalkulator!$B$22*(A13-Kalkulator!$B$29+1),IF(Kalkulator!$B$29=1,E13,E12)))</f>
        <v>7020</v>
      </c>
      <c r="G13" s="18" t="n">
        <f aca="false">F13-F12</f>
        <v>780</v>
      </c>
      <c r="H13" s="18" t="n">
        <f aca="false">IF(A13&lt;=Kalkulator!$B$29,0,MIN(Kalkulator!$B$11,Kalkulator!$B$23*12*(A13-Kalkulator!$B$29),F12,D12))</f>
        <v>6240</v>
      </c>
      <c r="I13" s="18" t="n">
        <f aca="false">(H13-H12)/12</f>
        <v>65</v>
      </c>
      <c r="J13" s="18" t="n">
        <f aca="false">E13-E12</f>
        <v>0</v>
      </c>
      <c r="K13" s="18" t="n">
        <f aca="false">D13-D12</f>
        <v>1200</v>
      </c>
      <c r="L13" s="18" t="n">
        <f aca="false">(Kalkulator!$B$11-H13)/12</f>
        <v>480</v>
      </c>
    </row>
    <row r="14" customFormat="false" ht="15" hidden="false" customHeight="false" outlineLevel="0" collapsed="false">
      <c r="A14" s="18" t="n">
        <v>10</v>
      </c>
      <c r="B14" s="18" t="n">
        <f aca="false">MIN(Kalkulator!$B$26,Kalkulator!$B$19*A14)</f>
        <v>7500</v>
      </c>
      <c r="C14" s="18" t="n">
        <f aca="false">MIN(Kalkulator!$B$27,Kalkulator!$B$20*A14)</f>
        <v>4500</v>
      </c>
      <c r="D14" s="18" t="n">
        <f aca="false">MIN(Kalkulator!$B$28,Kalkulator!$B$21*A14)</f>
        <v>12000</v>
      </c>
      <c r="E14" s="18" t="n">
        <f aca="false">B14+C14</f>
        <v>12000</v>
      </c>
      <c r="F14" s="18" t="n">
        <f aca="false">IF(A14&lt;Kalkulator!$B$29,0,MIN(Kalkulator!$B$11,Kalkulator!$B$22*(A14-Kalkulator!$B$29+1),IF(Kalkulator!$B$29=1,E14,E13)))</f>
        <v>7800</v>
      </c>
      <c r="G14" s="18" t="n">
        <f aca="false">F14-F13</f>
        <v>780</v>
      </c>
      <c r="H14" s="18" t="n">
        <f aca="false">IF(A14&lt;=Kalkulator!$B$29,0,MIN(Kalkulator!$B$11,Kalkulator!$B$23*12*(A14-Kalkulator!$B$29),F13,D13))</f>
        <v>7020</v>
      </c>
      <c r="I14" s="18" t="n">
        <f aca="false">(H14-H13)/12</f>
        <v>65</v>
      </c>
      <c r="J14" s="18" t="n">
        <f aca="false">E14-E13</f>
        <v>0</v>
      </c>
      <c r="K14" s="18" t="n">
        <f aca="false">D14-D13</f>
        <v>1200</v>
      </c>
      <c r="L14" s="18" t="n">
        <f aca="false">(Kalkulator!$B$11-H14)/12</f>
        <v>415</v>
      </c>
    </row>
    <row r="15" customFormat="false" ht="15" hidden="false" customHeight="false" outlineLevel="0" collapsed="false">
      <c r="A15" s="18" t="n">
        <v>11</v>
      </c>
      <c r="B15" s="18" t="n">
        <f aca="false">MIN(Kalkulator!$B$26,Kalkulator!$B$19*A15)</f>
        <v>7500</v>
      </c>
      <c r="C15" s="18" t="n">
        <f aca="false">MIN(Kalkulator!$B$27,Kalkulator!$B$20*A15)</f>
        <v>4500</v>
      </c>
      <c r="D15" s="18" t="n">
        <f aca="false">MIN(Kalkulator!$B$28,Kalkulator!$B$21*A15)</f>
        <v>12000</v>
      </c>
      <c r="E15" s="18" t="n">
        <f aca="false">B15+C15</f>
        <v>12000</v>
      </c>
      <c r="F15" s="18" t="n">
        <f aca="false">IF(A15&lt;Kalkulator!$B$29,0,MIN(Kalkulator!$B$11,Kalkulator!$B$22*(A15-Kalkulator!$B$29+1),IF(Kalkulator!$B$29=1,E15,E14)))</f>
        <v>8580</v>
      </c>
      <c r="G15" s="18" t="n">
        <f aca="false">F15-F14</f>
        <v>780</v>
      </c>
      <c r="H15" s="18" t="n">
        <f aca="false">IF(A15&lt;=Kalkulator!$B$29,0,MIN(Kalkulator!$B$11,Kalkulator!$B$23*12*(A15-Kalkulator!$B$29),F14,D14))</f>
        <v>7800</v>
      </c>
      <c r="I15" s="18" t="n">
        <f aca="false">(H15-H14)/12</f>
        <v>65</v>
      </c>
      <c r="J15" s="18" t="n">
        <f aca="false">E15-E14</f>
        <v>0</v>
      </c>
      <c r="K15" s="18" t="n">
        <f aca="false">D15-D14</f>
        <v>0</v>
      </c>
      <c r="L15" s="18" t="n">
        <f aca="false">(Kalkulator!$B$11-H15)/12</f>
        <v>350</v>
      </c>
    </row>
    <row r="16" customFormat="false" ht="15" hidden="false" customHeight="false" outlineLevel="0" collapsed="false">
      <c r="A16" s="18" t="n">
        <v>12</v>
      </c>
      <c r="B16" s="18" t="n">
        <f aca="false">MIN(Kalkulator!$B$26,Kalkulator!$B$19*A16)</f>
        <v>7500</v>
      </c>
      <c r="C16" s="18" t="n">
        <f aca="false">MIN(Kalkulator!$B$27,Kalkulator!$B$20*A16)</f>
        <v>4500</v>
      </c>
      <c r="D16" s="18" t="n">
        <f aca="false">MIN(Kalkulator!$B$28,Kalkulator!$B$21*A16)</f>
        <v>12000</v>
      </c>
      <c r="E16" s="18" t="n">
        <f aca="false">B16+C16</f>
        <v>12000</v>
      </c>
      <c r="F16" s="18" t="n">
        <f aca="false">IF(A16&lt;Kalkulator!$B$29,0,MIN(Kalkulator!$B$11,Kalkulator!$B$22*(A16-Kalkulator!$B$29+1),IF(Kalkulator!$B$29=1,E16,E15)))</f>
        <v>9360</v>
      </c>
      <c r="G16" s="18" t="n">
        <f aca="false">F16-F15</f>
        <v>780</v>
      </c>
      <c r="H16" s="18" t="n">
        <f aca="false">IF(A16&lt;=Kalkulator!$B$29,0,MIN(Kalkulator!$B$11,Kalkulator!$B$23*12*(A16-Kalkulator!$B$29),F15,D15))</f>
        <v>8580</v>
      </c>
      <c r="I16" s="18" t="n">
        <f aca="false">(H16-H15)/12</f>
        <v>65</v>
      </c>
      <c r="J16" s="18" t="n">
        <f aca="false">E16-E15</f>
        <v>0</v>
      </c>
      <c r="K16" s="18" t="n">
        <f aca="false">D16-D15</f>
        <v>0</v>
      </c>
      <c r="L16" s="18" t="n">
        <f aca="false">(Kalkulator!$B$11-H16)/12</f>
        <v>285</v>
      </c>
    </row>
    <row r="17" customFormat="false" ht="15" hidden="false" customHeight="false" outlineLevel="0" collapsed="false">
      <c r="A17" s="18" t="n">
        <v>13</v>
      </c>
      <c r="B17" s="18" t="n">
        <f aca="false">MIN(Kalkulator!$B$26,Kalkulator!$B$19*A17)</f>
        <v>7500</v>
      </c>
      <c r="C17" s="18" t="n">
        <f aca="false">MIN(Kalkulator!$B$27,Kalkulator!$B$20*A17)</f>
        <v>4500</v>
      </c>
      <c r="D17" s="18" t="n">
        <f aca="false">MIN(Kalkulator!$B$28,Kalkulator!$B$21*A17)</f>
        <v>12000</v>
      </c>
      <c r="E17" s="18" t="n">
        <f aca="false">B17+C17</f>
        <v>12000</v>
      </c>
      <c r="F17" s="18" t="n">
        <f aca="false">IF(A17&lt;Kalkulator!$B$29,0,MIN(Kalkulator!$B$11,Kalkulator!$B$22*(A17-Kalkulator!$B$29+1),IF(Kalkulator!$B$29=1,E17,E16)))</f>
        <v>10140</v>
      </c>
      <c r="G17" s="18" t="n">
        <f aca="false">F17-F16</f>
        <v>780</v>
      </c>
      <c r="H17" s="18" t="n">
        <f aca="false">IF(A17&lt;=Kalkulator!$B$29,0,MIN(Kalkulator!$B$11,Kalkulator!$B$23*12*(A17-Kalkulator!$B$29),F16,D16))</f>
        <v>9360</v>
      </c>
      <c r="I17" s="18" t="n">
        <f aca="false">(H17-H16)/12</f>
        <v>65</v>
      </c>
      <c r="J17" s="18" t="n">
        <f aca="false">E17-E16</f>
        <v>0</v>
      </c>
      <c r="K17" s="18" t="n">
        <f aca="false">D17-D16</f>
        <v>0</v>
      </c>
      <c r="L17" s="18" t="n">
        <f aca="false">(Kalkulator!$B$11-H17)/12</f>
        <v>220</v>
      </c>
    </row>
    <row r="18" customFormat="false" ht="15" hidden="false" customHeight="false" outlineLevel="0" collapsed="false">
      <c r="A18" s="18" t="n">
        <v>14</v>
      </c>
      <c r="B18" s="18" t="n">
        <f aca="false">MIN(Kalkulator!$B$26,Kalkulator!$B$19*A18)</f>
        <v>7500</v>
      </c>
      <c r="C18" s="18" t="n">
        <f aca="false">MIN(Kalkulator!$B$27,Kalkulator!$B$20*A18)</f>
        <v>4500</v>
      </c>
      <c r="D18" s="18" t="n">
        <f aca="false">MIN(Kalkulator!$B$28,Kalkulator!$B$21*A18)</f>
        <v>12000</v>
      </c>
      <c r="E18" s="18" t="n">
        <f aca="false">B18+C18</f>
        <v>12000</v>
      </c>
      <c r="F18" s="18" t="n">
        <f aca="false">IF(A18&lt;Kalkulator!$B$29,0,MIN(Kalkulator!$B$11,Kalkulator!$B$22*(A18-Kalkulator!$B$29+1),IF(Kalkulator!$B$29=1,E18,E17)))</f>
        <v>10920</v>
      </c>
      <c r="G18" s="18" t="n">
        <f aca="false">F18-F17</f>
        <v>780</v>
      </c>
      <c r="H18" s="18" t="n">
        <f aca="false">IF(A18&lt;=Kalkulator!$B$29,0,MIN(Kalkulator!$B$11,Kalkulator!$B$23*12*(A18-Kalkulator!$B$29),F17,D17))</f>
        <v>10140</v>
      </c>
      <c r="I18" s="18" t="n">
        <f aca="false">(H18-H17)/12</f>
        <v>65</v>
      </c>
      <c r="J18" s="18" t="n">
        <f aca="false">E18-E17</f>
        <v>0</v>
      </c>
      <c r="K18" s="18" t="n">
        <f aca="false">D18-D17</f>
        <v>0</v>
      </c>
      <c r="L18" s="18" t="n">
        <f aca="false">(Kalkulator!$B$11-H18)/12</f>
        <v>155</v>
      </c>
    </row>
    <row r="19" customFormat="false" ht="15" hidden="false" customHeight="false" outlineLevel="0" collapsed="false">
      <c r="A19" s="18" t="n">
        <v>15</v>
      </c>
      <c r="B19" s="18" t="n">
        <f aca="false">MIN(Kalkulator!$B$26,Kalkulator!$B$19*A19)</f>
        <v>7500</v>
      </c>
      <c r="C19" s="18" t="n">
        <f aca="false">MIN(Kalkulator!$B$27,Kalkulator!$B$20*A19)</f>
        <v>4500</v>
      </c>
      <c r="D19" s="18" t="n">
        <f aca="false">MIN(Kalkulator!$B$28,Kalkulator!$B$21*A19)</f>
        <v>12000</v>
      </c>
      <c r="E19" s="18" t="n">
        <f aca="false">B19+C19</f>
        <v>12000</v>
      </c>
      <c r="F19" s="18" t="n">
        <f aca="false">IF(A19&lt;Kalkulator!$B$29,0,MIN(Kalkulator!$B$11,Kalkulator!$B$22*(A19-Kalkulator!$B$29+1),IF(Kalkulator!$B$29=1,E19,E18)))</f>
        <v>11700</v>
      </c>
      <c r="G19" s="18" t="n">
        <f aca="false">F19-F18</f>
        <v>780</v>
      </c>
      <c r="H19" s="18" t="n">
        <f aca="false">IF(A19&lt;=Kalkulator!$B$29,0,MIN(Kalkulator!$B$11,Kalkulator!$B$23*12*(A19-Kalkulator!$B$29),F18,D18))</f>
        <v>10920</v>
      </c>
      <c r="I19" s="18" t="n">
        <f aca="false">(H19-H18)/12</f>
        <v>65</v>
      </c>
      <c r="J19" s="18" t="n">
        <f aca="false">E19-E18</f>
        <v>0</v>
      </c>
      <c r="K19" s="18" t="n">
        <f aca="false">D19-D18</f>
        <v>0</v>
      </c>
      <c r="L19" s="18" t="n">
        <f aca="false">(Kalkulator!$B$11-H19)/12</f>
        <v>90</v>
      </c>
    </row>
    <row r="20" customFormat="false" ht="15" hidden="false" customHeight="false" outlineLevel="0" collapsed="false">
      <c r="A20" s="18" t="n">
        <v>16</v>
      </c>
      <c r="B20" s="18" t="n">
        <f aca="false">MIN(Kalkulator!$B$26,Kalkulator!$B$19*A20)</f>
        <v>7500</v>
      </c>
      <c r="C20" s="18" t="n">
        <f aca="false">MIN(Kalkulator!$B$27,Kalkulator!$B$20*A20)</f>
        <v>4500</v>
      </c>
      <c r="D20" s="18" t="n">
        <f aca="false">MIN(Kalkulator!$B$28,Kalkulator!$B$21*A20)</f>
        <v>12000</v>
      </c>
      <c r="E20" s="18" t="n">
        <f aca="false">B20+C20</f>
        <v>12000</v>
      </c>
      <c r="F20" s="18" t="n">
        <f aca="false">IF(A20&lt;Kalkulator!$B$29,0,MIN(Kalkulator!$B$11,Kalkulator!$B$22*(A20-Kalkulator!$B$29+1),IF(Kalkulator!$B$29=1,E20,E19)))</f>
        <v>12000</v>
      </c>
      <c r="G20" s="18" t="n">
        <f aca="false">F20-F19</f>
        <v>300</v>
      </c>
      <c r="H20" s="18" t="n">
        <f aca="false">IF(A20&lt;=Kalkulator!$B$29,0,MIN(Kalkulator!$B$11,Kalkulator!$B$23*12*(A20-Kalkulator!$B$29),F19,D19))</f>
        <v>11700</v>
      </c>
      <c r="I20" s="18" t="n">
        <f aca="false">(H20-H19)/12</f>
        <v>65</v>
      </c>
      <c r="J20" s="18" t="n">
        <f aca="false">E20-E19</f>
        <v>0</v>
      </c>
      <c r="K20" s="18" t="n">
        <f aca="false">D20-D19</f>
        <v>0</v>
      </c>
      <c r="L20" s="18" t="n">
        <f aca="false">(Kalkulator!$B$11-H20)/12</f>
        <v>25</v>
      </c>
    </row>
    <row r="21" customFormat="false" ht="15" hidden="false" customHeight="false" outlineLevel="0" collapsed="false">
      <c r="A21" s="18" t="n">
        <v>17</v>
      </c>
      <c r="B21" s="18" t="n">
        <f aca="false">MIN(Kalkulator!$B$26,Kalkulator!$B$19*A21)</f>
        <v>7500</v>
      </c>
      <c r="C21" s="18" t="n">
        <f aca="false">MIN(Kalkulator!$B$27,Kalkulator!$B$20*A21)</f>
        <v>4500</v>
      </c>
      <c r="D21" s="18" t="n">
        <f aca="false">MIN(Kalkulator!$B$28,Kalkulator!$B$21*A21)</f>
        <v>12000</v>
      </c>
      <c r="E21" s="18" t="n">
        <f aca="false">B21+C21</f>
        <v>12000</v>
      </c>
      <c r="F21" s="18" t="n">
        <f aca="false">IF(A21&lt;Kalkulator!$B$29,0,MIN(Kalkulator!$B$11,Kalkulator!$B$22*(A21-Kalkulator!$B$29+1),IF(Kalkulator!$B$29=1,E21,E20)))</f>
        <v>12000</v>
      </c>
      <c r="G21" s="18" t="n">
        <f aca="false">F21-F20</f>
        <v>0</v>
      </c>
      <c r="H21" s="18" t="n">
        <f aca="false">IF(A21&lt;=Kalkulator!$B$29,0,MIN(Kalkulator!$B$11,Kalkulator!$B$23*12*(A21-Kalkulator!$B$29),F20,D20))</f>
        <v>12000</v>
      </c>
      <c r="I21" s="18" t="n">
        <f aca="false">(H21-H20)/12</f>
        <v>25</v>
      </c>
      <c r="J21" s="18" t="n">
        <f aca="false">E21-E20</f>
        <v>0</v>
      </c>
      <c r="K21" s="18" t="n">
        <f aca="false">D21-D20</f>
        <v>0</v>
      </c>
      <c r="L21" s="18" t="n">
        <f aca="false">(Kalkulator!$B$11-H21)/12</f>
        <v>0</v>
      </c>
    </row>
    <row r="22" customFormat="false" ht="15" hidden="false" customHeight="false" outlineLevel="0" collapsed="false">
      <c r="A22" s="18" t="n">
        <v>18</v>
      </c>
      <c r="B22" s="18" t="n">
        <f aca="false">MIN(Kalkulator!$B$26,Kalkulator!$B$19*A22)</f>
        <v>7500</v>
      </c>
      <c r="C22" s="18" t="n">
        <f aca="false">MIN(Kalkulator!$B$27,Kalkulator!$B$20*A22)</f>
        <v>4500</v>
      </c>
      <c r="D22" s="18" t="n">
        <f aca="false">MIN(Kalkulator!$B$28,Kalkulator!$B$21*A22)</f>
        <v>12000</v>
      </c>
      <c r="E22" s="18" t="n">
        <f aca="false">B22+C22</f>
        <v>12000</v>
      </c>
      <c r="F22" s="18" t="n">
        <f aca="false">IF(A22&lt;Kalkulator!$B$29,0,MIN(Kalkulator!$B$11,Kalkulator!$B$22*(A22-Kalkulator!$B$29+1),IF(Kalkulator!$B$29=1,E22,E21)))</f>
        <v>12000</v>
      </c>
      <c r="G22" s="18" t="n">
        <f aca="false">F22-F21</f>
        <v>0</v>
      </c>
      <c r="H22" s="18" t="n">
        <f aca="false">IF(A22&lt;=Kalkulator!$B$29,0,MIN(Kalkulator!$B$11,Kalkulator!$B$23*12*(A22-Kalkulator!$B$29),F21,D21))</f>
        <v>12000</v>
      </c>
      <c r="I22" s="18" t="n">
        <f aca="false">(H22-H21)/12</f>
        <v>0</v>
      </c>
      <c r="J22" s="18" t="n">
        <f aca="false">E22-E21</f>
        <v>0</v>
      </c>
      <c r="K22" s="18" t="n">
        <f aca="false">D22-D21</f>
        <v>0</v>
      </c>
      <c r="L22" s="18" t="n">
        <f aca="false">(Kalkulator!$B$11-H22)/12</f>
        <v>0</v>
      </c>
    </row>
    <row r="23" customFormat="false" ht="15" hidden="false" customHeight="false" outlineLevel="0" collapsed="false">
      <c r="A23" s="18" t="n">
        <v>19</v>
      </c>
      <c r="B23" s="18" t="n">
        <f aca="false">MIN(Kalkulator!$B$26,Kalkulator!$B$19*A23)</f>
        <v>7500</v>
      </c>
      <c r="C23" s="18" t="n">
        <f aca="false">MIN(Kalkulator!$B$27,Kalkulator!$B$20*A23)</f>
        <v>4500</v>
      </c>
      <c r="D23" s="18" t="n">
        <f aca="false">MIN(Kalkulator!$B$28,Kalkulator!$B$21*A23)</f>
        <v>12000</v>
      </c>
      <c r="E23" s="18" t="n">
        <f aca="false">B23+C23</f>
        <v>12000</v>
      </c>
      <c r="F23" s="18" t="n">
        <f aca="false">IF(A23&lt;Kalkulator!$B$29,0,MIN(Kalkulator!$B$11,Kalkulator!$B$22*(A23-Kalkulator!$B$29+1),IF(Kalkulator!$B$29=1,E23,E22)))</f>
        <v>12000</v>
      </c>
      <c r="G23" s="18" t="n">
        <f aca="false">F23-F22</f>
        <v>0</v>
      </c>
      <c r="H23" s="18" t="n">
        <f aca="false">IF(A23&lt;=Kalkulator!$B$29,0,MIN(Kalkulator!$B$11,Kalkulator!$B$23*12*(A23-Kalkulator!$B$29),F22,D22))</f>
        <v>12000</v>
      </c>
      <c r="I23" s="18" t="n">
        <f aca="false">(H23-H22)/12</f>
        <v>0</v>
      </c>
      <c r="J23" s="18" t="n">
        <f aca="false">E23-E22</f>
        <v>0</v>
      </c>
      <c r="K23" s="18" t="n">
        <f aca="false">D23-D22</f>
        <v>0</v>
      </c>
      <c r="L23" s="18" t="n">
        <f aca="false">(Kalkulator!$B$11-H23)/12</f>
        <v>0</v>
      </c>
    </row>
    <row r="24" customFormat="false" ht="15" hidden="false" customHeight="false" outlineLevel="0" collapsed="false">
      <c r="A24" s="18" t="n">
        <v>20</v>
      </c>
      <c r="B24" s="18" t="n">
        <f aca="false">MIN(Kalkulator!$B$26,Kalkulator!$B$19*A24)</f>
        <v>7500</v>
      </c>
      <c r="C24" s="18" t="n">
        <f aca="false">MIN(Kalkulator!$B$27,Kalkulator!$B$20*A24)</f>
        <v>4500</v>
      </c>
      <c r="D24" s="18" t="n">
        <f aca="false">MIN(Kalkulator!$B$28,Kalkulator!$B$21*A24)</f>
        <v>12000</v>
      </c>
      <c r="E24" s="18" t="n">
        <f aca="false">B24+C24</f>
        <v>12000</v>
      </c>
      <c r="F24" s="18" t="n">
        <f aca="false">IF(A24&lt;Kalkulator!$B$29,0,MIN(Kalkulator!$B$11,Kalkulator!$B$22*(A24-Kalkulator!$B$29+1),IF(Kalkulator!$B$29=1,E24,E23)))</f>
        <v>12000</v>
      </c>
      <c r="G24" s="18" t="n">
        <f aca="false">F24-F23</f>
        <v>0</v>
      </c>
      <c r="H24" s="18" t="n">
        <f aca="false">IF(A24&lt;=Kalkulator!$B$29,0,MIN(Kalkulator!$B$11,Kalkulator!$B$23*12*(A24-Kalkulator!$B$29),F23,D23))</f>
        <v>12000</v>
      </c>
      <c r="I24" s="18" t="n">
        <f aca="false">(H24-H23)/12</f>
        <v>0</v>
      </c>
      <c r="J24" s="18" t="n">
        <f aca="false">E24-E23</f>
        <v>0</v>
      </c>
      <c r="K24" s="18" t="n">
        <f aca="false">D24-D23</f>
        <v>0</v>
      </c>
      <c r="L24" s="18" t="n">
        <f aca="false">(Kalkulator!$B$11-H24)/12</f>
        <v>0</v>
      </c>
    </row>
    <row r="25" customFormat="false" ht="15" hidden="false" customHeight="false" outlineLevel="0" collapsed="false">
      <c r="A25" s="18" t="n">
        <v>21</v>
      </c>
      <c r="B25" s="18" t="n">
        <f aca="false">MIN(Kalkulator!$B$26,Kalkulator!$B$19*A25)</f>
        <v>7500</v>
      </c>
      <c r="C25" s="18" t="n">
        <f aca="false">MIN(Kalkulator!$B$27,Kalkulator!$B$20*A25)</f>
        <v>4500</v>
      </c>
      <c r="D25" s="18" t="n">
        <f aca="false">MIN(Kalkulator!$B$28,Kalkulator!$B$21*A25)</f>
        <v>12000</v>
      </c>
      <c r="E25" s="18" t="n">
        <f aca="false">B25+C25</f>
        <v>12000</v>
      </c>
      <c r="F25" s="18" t="n">
        <f aca="false">IF(A25&lt;Kalkulator!$B$29,0,MIN(Kalkulator!$B$11,Kalkulator!$B$22*(A25-Kalkulator!$B$29+1),IF(Kalkulator!$B$29=1,E25,E24)))</f>
        <v>12000</v>
      </c>
      <c r="G25" s="18" t="n">
        <f aca="false">F25-F24</f>
        <v>0</v>
      </c>
      <c r="H25" s="18" t="n">
        <f aca="false">IF(A25&lt;=Kalkulator!$B$29,0,MIN(Kalkulator!$B$11,Kalkulator!$B$23*12*(A25-Kalkulator!$B$29),F24,D24))</f>
        <v>12000</v>
      </c>
      <c r="I25" s="18" t="n">
        <f aca="false">(H25-H24)/12</f>
        <v>0</v>
      </c>
      <c r="J25" s="18" t="n">
        <f aca="false">E25-E24</f>
        <v>0</v>
      </c>
      <c r="K25" s="18" t="n">
        <f aca="false">D25-D24</f>
        <v>0</v>
      </c>
      <c r="L25" s="18" t="n">
        <f aca="false">(Kalkulator!$B$11-H25)/12</f>
        <v>0</v>
      </c>
    </row>
    <row r="26" customFormat="false" ht="15" hidden="false" customHeight="false" outlineLevel="0" collapsed="false">
      <c r="A26" s="18" t="n">
        <v>22</v>
      </c>
      <c r="B26" s="18" t="n">
        <f aca="false">MIN(Kalkulator!$B$26,Kalkulator!$B$19*A26)</f>
        <v>7500</v>
      </c>
      <c r="C26" s="18" t="n">
        <f aca="false">MIN(Kalkulator!$B$27,Kalkulator!$B$20*A26)</f>
        <v>4500</v>
      </c>
      <c r="D26" s="18" t="n">
        <f aca="false">MIN(Kalkulator!$B$28,Kalkulator!$B$21*A26)</f>
        <v>12000</v>
      </c>
      <c r="E26" s="18" t="n">
        <f aca="false">B26+C26</f>
        <v>12000</v>
      </c>
      <c r="F26" s="18" t="n">
        <f aca="false">IF(A26&lt;Kalkulator!$B$29,0,MIN(Kalkulator!$B$11,Kalkulator!$B$22*(A26-Kalkulator!$B$29+1),IF(Kalkulator!$B$29=1,E26,E25)))</f>
        <v>12000</v>
      </c>
      <c r="G26" s="18" t="n">
        <f aca="false">F26-F25</f>
        <v>0</v>
      </c>
      <c r="H26" s="18" t="n">
        <f aca="false">IF(A26&lt;=Kalkulator!$B$29,0,MIN(Kalkulator!$B$11,Kalkulator!$B$23*12*(A26-Kalkulator!$B$29),F25,D25))</f>
        <v>12000</v>
      </c>
      <c r="I26" s="18" t="n">
        <f aca="false">(H26-H25)/12</f>
        <v>0</v>
      </c>
      <c r="J26" s="18" t="n">
        <f aca="false">E26-E25</f>
        <v>0</v>
      </c>
      <c r="K26" s="18" t="n">
        <f aca="false">D26-D25</f>
        <v>0</v>
      </c>
      <c r="L26" s="18" t="n">
        <f aca="false">(Kalkulator!$B$11-H26)/12</f>
        <v>0</v>
      </c>
    </row>
    <row r="27" customFormat="false" ht="15" hidden="false" customHeight="false" outlineLevel="0" collapsed="false">
      <c r="A27" s="18" t="n">
        <v>23</v>
      </c>
      <c r="B27" s="18" t="n">
        <f aca="false">MIN(Kalkulator!$B$26,Kalkulator!$B$19*A27)</f>
        <v>7500</v>
      </c>
      <c r="C27" s="18" t="n">
        <f aca="false">MIN(Kalkulator!$B$27,Kalkulator!$B$20*A27)</f>
        <v>4500</v>
      </c>
      <c r="D27" s="18" t="n">
        <f aca="false">MIN(Kalkulator!$B$28,Kalkulator!$B$21*A27)</f>
        <v>12000</v>
      </c>
      <c r="E27" s="18" t="n">
        <f aca="false">B27+C27</f>
        <v>12000</v>
      </c>
      <c r="F27" s="18" t="n">
        <f aca="false">IF(A27&lt;Kalkulator!$B$29,0,MIN(Kalkulator!$B$11,Kalkulator!$B$22*(A27-Kalkulator!$B$29+1),IF(Kalkulator!$B$29=1,E27,E26)))</f>
        <v>12000</v>
      </c>
      <c r="G27" s="18" t="n">
        <f aca="false">F27-F26</f>
        <v>0</v>
      </c>
      <c r="H27" s="18" t="n">
        <f aca="false">IF(A27&lt;=Kalkulator!$B$29,0,MIN(Kalkulator!$B$11,Kalkulator!$B$23*12*(A27-Kalkulator!$B$29),F26,D26))</f>
        <v>12000</v>
      </c>
      <c r="I27" s="18" t="n">
        <f aca="false">(H27-H26)/12</f>
        <v>0</v>
      </c>
      <c r="J27" s="18" t="n">
        <f aca="false">E27-E26</f>
        <v>0</v>
      </c>
      <c r="K27" s="18" t="n">
        <f aca="false">D27-D26</f>
        <v>0</v>
      </c>
      <c r="L27" s="18" t="n">
        <f aca="false">(Kalkulator!$B$11-H27)/12</f>
        <v>0</v>
      </c>
    </row>
    <row r="28" customFormat="false" ht="15" hidden="false" customHeight="false" outlineLevel="0" collapsed="false">
      <c r="A28" s="18" t="n">
        <v>24</v>
      </c>
      <c r="B28" s="18" t="n">
        <f aca="false">MIN(Kalkulator!$B$26,Kalkulator!$B$19*A28)</f>
        <v>7500</v>
      </c>
      <c r="C28" s="18" t="n">
        <f aca="false">MIN(Kalkulator!$B$27,Kalkulator!$B$20*A28)</f>
        <v>4500</v>
      </c>
      <c r="D28" s="18" t="n">
        <f aca="false">MIN(Kalkulator!$B$28,Kalkulator!$B$21*A28)</f>
        <v>12000</v>
      </c>
      <c r="E28" s="18" t="n">
        <f aca="false">B28+C28</f>
        <v>12000</v>
      </c>
      <c r="F28" s="18" t="n">
        <f aca="false">IF(A28&lt;Kalkulator!$B$29,0,MIN(Kalkulator!$B$11,Kalkulator!$B$22*(A28-Kalkulator!$B$29+1),IF(Kalkulator!$B$29=1,E28,E27)))</f>
        <v>12000</v>
      </c>
      <c r="G28" s="18" t="n">
        <f aca="false">F28-F27</f>
        <v>0</v>
      </c>
      <c r="H28" s="18" t="n">
        <f aca="false">IF(A28&lt;=Kalkulator!$B$29,0,MIN(Kalkulator!$B$11,Kalkulator!$B$23*12*(A28-Kalkulator!$B$29),F27,D27))</f>
        <v>12000</v>
      </c>
      <c r="I28" s="18" t="n">
        <f aca="false">(H28-H27)/12</f>
        <v>0</v>
      </c>
      <c r="J28" s="18" t="n">
        <f aca="false">E28-E27</f>
        <v>0</v>
      </c>
      <c r="K28" s="18" t="n">
        <f aca="false">D28-D27</f>
        <v>0</v>
      </c>
      <c r="L28" s="18" t="n">
        <f aca="false">(Kalkulator!$B$11-H28)/12</f>
        <v>0</v>
      </c>
    </row>
    <row r="29" customFormat="false" ht="15" hidden="false" customHeight="false" outlineLevel="0" collapsed="false">
      <c r="A29" s="18" t="n">
        <v>25</v>
      </c>
      <c r="B29" s="18" t="n">
        <f aca="false">MIN(Kalkulator!$B$26,Kalkulator!$B$19*A29)</f>
        <v>7500</v>
      </c>
      <c r="C29" s="18" t="n">
        <f aca="false">MIN(Kalkulator!$B$27,Kalkulator!$B$20*A29)</f>
        <v>4500</v>
      </c>
      <c r="D29" s="18" t="n">
        <f aca="false">MIN(Kalkulator!$B$28,Kalkulator!$B$21*A29)</f>
        <v>12000</v>
      </c>
      <c r="E29" s="18" t="n">
        <f aca="false">B29+C29</f>
        <v>12000</v>
      </c>
      <c r="F29" s="18" t="n">
        <f aca="false">IF(A29&lt;Kalkulator!$B$29,0,MIN(Kalkulator!$B$11,Kalkulator!$B$22*(A29-Kalkulator!$B$29+1),IF(Kalkulator!$B$29=1,E29,E28)))</f>
        <v>12000</v>
      </c>
      <c r="G29" s="18" t="n">
        <f aca="false">F29-F28</f>
        <v>0</v>
      </c>
      <c r="H29" s="18" t="n">
        <f aca="false">IF(A29&lt;=Kalkulator!$B$29,0,MIN(Kalkulator!$B$11,Kalkulator!$B$23*12*(A29-Kalkulator!$B$29),F28,D28))</f>
        <v>12000</v>
      </c>
      <c r="I29" s="18" t="n">
        <f aca="false">(H29-H28)/12</f>
        <v>0</v>
      </c>
      <c r="J29" s="18" t="n">
        <f aca="false">E29-E28</f>
        <v>0</v>
      </c>
      <c r="K29" s="18" t="n">
        <f aca="false">D29-D28</f>
        <v>0</v>
      </c>
      <c r="L29" s="18" t="n">
        <f aca="false">(Kalkulator!$B$11-H29)/12</f>
        <v>0</v>
      </c>
    </row>
    <row r="30" customFormat="false" ht="15" hidden="false" customHeight="false" outlineLevel="0" collapsed="false">
      <c r="A30" s="18" t="n">
        <v>26</v>
      </c>
      <c r="B30" s="18" t="n">
        <f aca="false">MIN(Kalkulator!$B$26,Kalkulator!$B$19*A30)</f>
        <v>7500</v>
      </c>
      <c r="C30" s="18" t="n">
        <f aca="false">MIN(Kalkulator!$B$27,Kalkulator!$B$20*A30)</f>
        <v>4500</v>
      </c>
      <c r="D30" s="18" t="n">
        <f aca="false">MIN(Kalkulator!$B$28,Kalkulator!$B$21*A30)</f>
        <v>12000</v>
      </c>
      <c r="E30" s="18" t="n">
        <f aca="false">B30+C30</f>
        <v>12000</v>
      </c>
      <c r="F30" s="18" t="n">
        <f aca="false">IF(A30&lt;Kalkulator!$B$29,0,MIN(Kalkulator!$B$11,Kalkulator!$B$22*(A30-Kalkulator!$B$29+1),IF(Kalkulator!$B$29=1,E30,E29)))</f>
        <v>12000</v>
      </c>
      <c r="G30" s="18" t="n">
        <f aca="false">F30-F29</f>
        <v>0</v>
      </c>
      <c r="H30" s="18" t="n">
        <f aca="false">IF(A30&lt;=Kalkulator!$B$29,0,MIN(Kalkulator!$B$11,Kalkulator!$B$23*12*(A30-Kalkulator!$B$29),F29,D29))</f>
        <v>12000</v>
      </c>
      <c r="I30" s="18" t="n">
        <f aca="false">(H30-H29)/12</f>
        <v>0</v>
      </c>
      <c r="J30" s="18" t="n">
        <f aca="false">E30-E29</f>
        <v>0</v>
      </c>
      <c r="K30" s="18" t="n">
        <f aca="false">D30-D29</f>
        <v>0</v>
      </c>
      <c r="L30" s="18" t="n">
        <f aca="false">(Kalkulator!$B$11-H30)/12</f>
        <v>0</v>
      </c>
    </row>
    <row r="31" customFormat="false" ht="15" hidden="false" customHeight="false" outlineLevel="0" collapsed="false">
      <c r="A31" s="18" t="n">
        <v>27</v>
      </c>
      <c r="B31" s="18" t="n">
        <f aca="false">MIN(Kalkulator!$B$26,Kalkulator!$B$19*A31)</f>
        <v>7500</v>
      </c>
      <c r="C31" s="18" t="n">
        <f aca="false">MIN(Kalkulator!$B$27,Kalkulator!$B$20*A31)</f>
        <v>4500</v>
      </c>
      <c r="D31" s="18" t="n">
        <f aca="false">MIN(Kalkulator!$B$28,Kalkulator!$B$21*A31)</f>
        <v>12000</v>
      </c>
      <c r="E31" s="18" t="n">
        <f aca="false">B31+C31</f>
        <v>12000</v>
      </c>
      <c r="F31" s="18" t="n">
        <f aca="false">IF(A31&lt;Kalkulator!$B$29,0,MIN(Kalkulator!$B$11,Kalkulator!$B$22*(A31-Kalkulator!$B$29+1),IF(Kalkulator!$B$29=1,E31,E30)))</f>
        <v>12000</v>
      </c>
      <c r="G31" s="18" t="n">
        <f aca="false">F31-F30</f>
        <v>0</v>
      </c>
      <c r="H31" s="18" t="n">
        <f aca="false">IF(A31&lt;=Kalkulator!$B$29,0,MIN(Kalkulator!$B$11,Kalkulator!$B$23*12*(A31-Kalkulator!$B$29),F30,D30))</f>
        <v>12000</v>
      </c>
      <c r="I31" s="18" t="n">
        <f aca="false">(H31-H30)/12</f>
        <v>0</v>
      </c>
      <c r="J31" s="18" t="n">
        <f aca="false">E31-E30</f>
        <v>0</v>
      </c>
      <c r="K31" s="18" t="n">
        <f aca="false">D31-D30</f>
        <v>0</v>
      </c>
      <c r="L31" s="18" t="n">
        <f aca="false">(Kalkulator!$B$11-H31)/12</f>
        <v>0</v>
      </c>
    </row>
    <row r="32" customFormat="false" ht="15" hidden="false" customHeight="false" outlineLevel="0" collapsed="false">
      <c r="A32" s="18" t="n">
        <v>28</v>
      </c>
      <c r="B32" s="18" t="n">
        <f aca="false">MIN(Kalkulator!$B$26,Kalkulator!$B$19*A32)</f>
        <v>7500</v>
      </c>
      <c r="C32" s="18" t="n">
        <f aca="false">MIN(Kalkulator!$B$27,Kalkulator!$B$20*A32)</f>
        <v>4500</v>
      </c>
      <c r="D32" s="18" t="n">
        <f aca="false">MIN(Kalkulator!$B$28,Kalkulator!$B$21*A32)</f>
        <v>12000</v>
      </c>
      <c r="E32" s="18" t="n">
        <f aca="false">B32+C32</f>
        <v>12000</v>
      </c>
      <c r="F32" s="18" t="n">
        <f aca="false">IF(A32&lt;Kalkulator!$B$29,0,MIN(Kalkulator!$B$11,Kalkulator!$B$22*(A32-Kalkulator!$B$29+1),IF(Kalkulator!$B$29=1,E32,E31)))</f>
        <v>12000</v>
      </c>
      <c r="G32" s="18" t="n">
        <f aca="false">F32-F31</f>
        <v>0</v>
      </c>
      <c r="H32" s="18" t="n">
        <f aca="false">IF(A32&lt;=Kalkulator!$B$29,0,MIN(Kalkulator!$B$11,Kalkulator!$B$23*12*(A32-Kalkulator!$B$29),F31,D31))</f>
        <v>12000</v>
      </c>
      <c r="I32" s="18" t="n">
        <f aca="false">(H32-H31)/12</f>
        <v>0</v>
      </c>
      <c r="J32" s="18" t="n">
        <f aca="false">E32-E31</f>
        <v>0</v>
      </c>
      <c r="K32" s="18" t="n">
        <f aca="false">D32-D31</f>
        <v>0</v>
      </c>
      <c r="L32" s="18" t="n">
        <f aca="false">(Kalkulator!$B$11-H32)/12</f>
        <v>0</v>
      </c>
    </row>
    <row r="33" customFormat="false" ht="15" hidden="false" customHeight="false" outlineLevel="0" collapsed="false">
      <c r="A33" s="18" t="n">
        <v>29</v>
      </c>
      <c r="B33" s="18" t="n">
        <f aca="false">MIN(Kalkulator!$B$26,Kalkulator!$B$19*A33)</f>
        <v>7500</v>
      </c>
      <c r="C33" s="18" t="n">
        <f aca="false">MIN(Kalkulator!$B$27,Kalkulator!$B$20*A33)</f>
        <v>4500</v>
      </c>
      <c r="D33" s="18" t="n">
        <f aca="false">MIN(Kalkulator!$B$28,Kalkulator!$B$21*A33)</f>
        <v>12000</v>
      </c>
      <c r="E33" s="18" t="n">
        <f aca="false">B33+C33</f>
        <v>12000</v>
      </c>
      <c r="F33" s="18" t="n">
        <f aca="false">IF(A33&lt;Kalkulator!$B$29,0,MIN(Kalkulator!$B$11,Kalkulator!$B$22*(A33-Kalkulator!$B$29+1),IF(Kalkulator!$B$29=1,E33,E32)))</f>
        <v>12000</v>
      </c>
      <c r="G33" s="18" t="n">
        <f aca="false">F33-F32</f>
        <v>0</v>
      </c>
      <c r="H33" s="18" t="n">
        <f aca="false">IF(A33&lt;=Kalkulator!$B$29,0,MIN(Kalkulator!$B$11,Kalkulator!$B$23*12*(A33-Kalkulator!$B$29),F32,D32))</f>
        <v>12000</v>
      </c>
      <c r="I33" s="18" t="n">
        <f aca="false">(H33-H32)/12</f>
        <v>0</v>
      </c>
      <c r="J33" s="18" t="n">
        <f aca="false">E33-E32</f>
        <v>0</v>
      </c>
      <c r="K33" s="18" t="n">
        <f aca="false">D33-D32</f>
        <v>0</v>
      </c>
      <c r="L33" s="18" t="n">
        <f aca="false">(Kalkulator!$B$11-H33)/12</f>
        <v>0</v>
      </c>
    </row>
    <row r="34" customFormat="false" ht="15" hidden="false" customHeight="false" outlineLevel="0" collapsed="false">
      <c r="A34" s="18" t="n">
        <v>30</v>
      </c>
      <c r="B34" s="18" t="n">
        <f aca="false">MIN(Kalkulator!$B$26,Kalkulator!$B$19*A34)</f>
        <v>7500</v>
      </c>
      <c r="C34" s="18" t="n">
        <f aca="false">MIN(Kalkulator!$B$27,Kalkulator!$B$20*A34)</f>
        <v>4500</v>
      </c>
      <c r="D34" s="18" t="n">
        <f aca="false">MIN(Kalkulator!$B$28,Kalkulator!$B$21*A34)</f>
        <v>12000</v>
      </c>
      <c r="E34" s="18" t="n">
        <f aca="false">B34+C34</f>
        <v>12000</v>
      </c>
      <c r="F34" s="18" t="n">
        <f aca="false">IF(A34&lt;Kalkulator!$B$29,0,MIN(Kalkulator!$B$11,Kalkulator!$B$22*(A34-Kalkulator!$B$29+1),IF(Kalkulator!$B$29=1,E34,E33)))</f>
        <v>12000</v>
      </c>
      <c r="G34" s="18" t="n">
        <f aca="false">F34-F33</f>
        <v>0</v>
      </c>
      <c r="H34" s="18" t="n">
        <f aca="false">IF(A34&lt;=Kalkulator!$B$29,0,MIN(Kalkulator!$B$11,Kalkulator!$B$23*12*(A34-Kalkulator!$B$29),F33,D33))</f>
        <v>12000</v>
      </c>
      <c r="I34" s="18" t="n">
        <f aca="false">(H34-H33)/12</f>
        <v>0</v>
      </c>
      <c r="J34" s="18" t="n">
        <f aca="false">E34-E33</f>
        <v>0</v>
      </c>
      <c r="K34" s="18" t="n">
        <f aca="false">D34-D33</f>
        <v>0</v>
      </c>
      <c r="L34" s="18" t="n">
        <f aca="false">(Kalkulator!$B$11-H34)/12</f>
        <v>0</v>
      </c>
    </row>
    <row r="35" customFormat="false" ht="15" hidden="false" customHeight="false" outlineLevel="0" collapsed="false">
      <c r="A35" s="18" t="n">
        <v>31</v>
      </c>
      <c r="B35" s="18" t="n">
        <f aca="false">MIN(Kalkulator!$B$26,Kalkulator!$B$19*A35)</f>
        <v>7500</v>
      </c>
      <c r="C35" s="18" t="n">
        <f aca="false">MIN(Kalkulator!$B$27,Kalkulator!$B$20*A35)</f>
        <v>4500</v>
      </c>
      <c r="D35" s="18" t="n">
        <f aca="false">MIN(Kalkulator!$B$28,Kalkulator!$B$21*A35)</f>
        <v>12000</v>
      </c>
      <c r="E35" s="18" t="n">
        <f aca="false">B35+C35</f>
        <v>12000</v>
      </c>
      <c r="F35" s="18" t="n">
        <f aca="false">IF(A35&lt;Kalkulator!$B$29,0,MIN(Kalkulator!$B$11,Kalkulator!$B$22*(A35-Kalkulator!$B$29+1),IF(Kalkulator!$B$29=1,E35,E34)))</f>
        <v>12000</v>
      </c>
      <c r="G35" s="18" t="n">
        <f aca="false">F35-F34</f>
        <v>0</v>
      </c>
      <c r="H35" s="18" t="n">
        <f aca="false">IF(A35&lt;=Kalkulator!$B$29,0,MIN(Kalkulator!$B$11,Kalkulator!$B$23*12*(A35-Kalkulator!$B$29),F34,D34))</f>
        <v>12000</v>
      </c>
      <c r="I35" s="18" t="n">
        <f aca="false">(H35-H34)/12</f>
        <v>0</v>
      </c>
      <c r="J35" s="18" t="n">
        <f aca="false">E35-E34</f>
        <v>0</v>
      </c>
      <c r="K35" s="18" t="n">
        <f aca="false">D35-D34</f>
        <v>0</v>
      </c>
      <c r="L35" s="18" t="n">
        <f aca="false">(Kalkulator!$B$11-H35)/12</f>
        <v>0</v>
      </c>
    </row>
    <row r="36" customFormat="false" ht="15" hidden="false" customHeight="false" outlineLevel="0" collapsed="false">
      <c r="A36" s="18" t="n">
        <v>32</v>
      </c>
      <c r="B36" s="18" t="n">
        <f aca="false">MIN(Kalkulator!$B$26,Kalkulator!$B$19*A36)</f>
        <v>7500</v>
      </c>
      <c r="C36" s="18" t="n">
        <f aca="false">MIN(Kalkulator!$B$27,Kalkulator!$B$20*A36)</f>
        <v>4500</v>
      </c>
      <c r="D36" s="18" t="n">
        <f aca="false">MIN(Kalkulator!$B$28,Kalkulator!$B$21*A36)</f>
        <v>12000</v>
      </c>
      <c r="E36" s="18" t="n">
        <f aca="false">B36+C36</f>
        <v>12000</v>
      </c>
      <c r="F36" s="18" t="n">
        <f aca="false">IF(A36&lt;Kalkulator!$B$29,0,MIN(Kalkulator!$B$11,Kalkulator!$B$22*(A36-Kalkulator!$B$29+1),IF(Kalkulator!$B$29=1,E36,E35)))</f>
        <v>12000</v>
      </c>
      <c r="G36" s="18" t="n">
        <f aca="false">F36-F35</f>
        <v>0</v>
      </c>
      <c r="H36" s="18" t="n">
        <f aca="false">IF(A36&lt;=Kalkulator!$B$29,0,MIN(Kalkulator!$B$11,Kalkulator!$B$23*12*(A36-Kalkulator!$B$29),F35,D35))</f>
        <v>12000</v>
      </c>
      <c r="I36" s="18" t="n">
        <f aca="false">(H36-H35)/12</f>
        <v>0</v>
      </c>
      <c r="J36" s="18" t="n">
        <f aca="false">E36-E35</f>
        <v>0</v>
      </c>
      <c r="K36" s="18" t="n">
        <f aca="false">D36-D35</f>
        <v>0</v>
      </c>
      <c r="L36" s="18" t="n">
        <f aca="false">(Kalkulator!$B$11-H36)/12</f>
        <v>0</v>
      </c>
    </row>
    <row r="37" customFormat="false" ht="15" hidden="false" customHeight="false" outlineLevel="0" collapsed="false">
      <c r="A37" s="18" t="n">
        <v>33</v>
      </c>
      <c r="B37" s="18" t="n">
        <f aca="false">MIN(Kalkulator!$B$26,Kalkulator!$B$19*A37)</f>
        <v>7500</v>
      </c>
      <c r="C37" s="18" t="n">
        <f aca="false">MIN(Kalkulator!$B$27,Kalkulator!$B$20*A37)</f>
        <v>4500</v>
      </c>
      <c r="D37" s="18" t="n">
        <f aca="false">MIN(Kalkulator!$B$28,Kalkulator!$B$21*A37)</f>
        <v>12000</v>
      </c>
      <c r="E37" s="18" t="n">
        <f aca="false">B37+C37</f>
        <v>12000</v>
      </c>
      <c r="F37" s="18" t="n">
        <f aca="false">IF(A37&lt;Kalkulator!$B$29,0,MIN(Kalkulator!$B$11,Kalkulator!$B$22*(A37-Kalkulator!$B$29+1),IF(Kalkulator!$B$29=1,E37,E36)))</f>
        <v>12000</v>
      </c>
      <c r="G37" s="18" t="n">
        <f aca="false">F37-F36</f>
        <v>0</v>
      </c>
      <c r="H37" s="18" t="n">
        <f aca="false">IF(A37&lt;=Kalkulator!$B$29,0,MIN(Kalkulator!$B$11,Kalkulator!$B$23*12*(A37-Kalkulator!$B$29),F36,D36))</f>
        <v>12000</v>
      </c>
      <c r="I37" s="18" t="n">
        <f aca="false">(H37-H36)/12</f>
        <v>0</v>
      </c>
      <c r="J37" s="18" t="n">
        <f aca="false">E37-E36</f>
        <v>0</v>
      </c>
      <c r="K37" s="18" t="n">
        <f aca="false">D37-D36</f>
        <v>0</v>
      </c>
      <c r="L37" s="18" t="n">
        <f aca="false">(Kalkulator!$B$11-H37)/12</f>
        <v>0</v>
      </c>
    </row>
    <row r="38" customFormat="false" ht="15" hidden="false" customHeight="false" outlineLevel="0" collapsed="false">
      <c r="A38" s="18" t="n">
        <v>34</v>
      </c>
      <c r="B38" s="18" t="n">
        <f aca="false">MIN(Kalkulator!$B$26,Kalkulator!$B$19*A38)</f>
        <v>7500</v>
      </c>
      <c r="C38" s="18" t="n">
        <f aca="false">MIN(Kalkulator!$B$27,Kalkulator!$B$20*A38)</f>
        <v>4500</v>
      </c>
      <c r="D38" s="18" t="n">
        <f aca="false">MIN(Kalkulator!$B$28,Kalkulator!$B$21*A38)</f>
        <v>12000</v>
      </c>
      <c r="E38" s="18" t="n">
        <f aca="false">B38+C38</f>
        <v>12000</v>
      </c>
      <c r="F38" s="18" t="n">
        <f aca="false">IF(A38&lt;Kalkulator!$B$29,0,MIN(Kalkulator!$B$11,Kalkulator!$B$22*(A38-Kalkulator!$B$29+1),IF(Kalkulator!$B$29=1,E38,E37)))</f>
        <v>12000</v>
      </c>
      <c r="G38" s="18" t="n">
        <f aca="false">F38-F37</f>
        <v>0</v>
      </c>
      <c r="H38" s="18" t="n">
        <f aca="false">IF(A38&lt;=Kalkulator!$B$29,0,MIN(Kalkulator!$B$11,Kalkulator!$B$23*12*(A38-Kalkulator!$B$29),F37,D37))</f>
        <v>12000</v>
      </c>
      <c r="I38" s="18" t="n">
        <f aca="false">(H38-H37)/12</f>
        <v>0</v>
      </c>
      <c r="J38" s="18" t="n">
        <f aca="false">E38-E37</f>
        <v>0</v>
      </c>
      <c r="K38" s="18" t="n">
        <f aca="false">D38-D37</f>
        <v>0</v>
      </c>
      <c r="L38" s="18" t="n">
        <f aca="false">(Kalkulator!$B$11-H38)/12</f>
        <v>0</v>
      </c>
    </row>
    <row r="39" customFormat="false" ht="15" hidden="false" customHeight="false" outlineLevel="0" collapsed="false">
      <c r="A39" s="18" t="n">
        <v>35</v>
      </c>
      <c r="B39" s="18" t="n">
        <f aca="false">MIN(Kalkulator!$B$26,Kalkulator!$B$19*A39)</f>
        <v>7500</v>
      </c>
      <c r="C39" s="18" t="n">
        <f aca="false">MIN(Kalkulator!$B$27,Kalkulator!$B$20*A39)</f>
        <v>4500</v>
      </c>
      <c r="D39" s="18" t="n">
        <f aca="false">MIN(Kalkulator!$B$28,Kalkulator!$B$21*A39)</f>
        <v>12000</v>
      </c>
      <c r="E39" s="18" t="n">
        <f aca="false">B39+C39</f>
        <v>12000</v>
      </c>
      <c r="F39" s="18" t="n">
        <f aca="false">IF(A39&lt;Kalkulator!$B$29,0,MIN(Kalkulator!$B$11,Kalkulator!$B$22*(A39-Kalkulator!$B$29+1),IF(Kalkulator!$B$29=1,E39,E38)))</f>
        <v>12000</v>
      </c>
      <c r="G39" s="18" t="n">
        <f aca="false">F39-F38</f>
        <v>0</v>
      </c>
      <c r="H39" s="18" t="n">
        <f aca="false">IF(A39&lt;=Kalkulator!$B$29,0,MIN(Kalkulator!$B$11,Kalkulator!$B$23*12*(A39-Kalkulator!$B$29),F38,D38))</f>
        <v>12000</v>
      </c>
      <c r="I39" s="18" t="n">
        <f aca="false">(H39-H38)/12</f>
        <v>0</v>
      </c>
      <c r="J39" s="18" t="n">
        <f aca="false">E39-E38</f>
        <v>0</v>
      </c>
      <c r="K39" s="18" t="n">
        <f aca="false">D39-D38</f>
        <v>0</v>
      </c>
      <c r="L39" s="18" t="n">
        <f aca="false">(Kalkulator!$B$11-H39)/12</f>
        <v>0</v>
      </c>
    </row>
    <row r="40" customFormat="false" ht="15" hidden="false" customHeight="false" outlineLevel="0" collapsed="false">
      <c r="A40" s="18" t="n">
        <v>36</v>
      </c>
      <c r="B40" s="18" t="n">
        <f aca="false">MIN(Kalkulator!$B$26,Kalkulator!$B$19*A40)</f>
        <v>7500</v>
      </c>
      <c r="C40" s="18" t="n">
        <f aca="false">MIN(Kalkulator!$B$27,Kalkulator!$B$20*A40)</f>
        <v>4500</v>
      </c>
      <c r="D40" s="18" t="n">
        <f aca="false">MIN(Kalkulator!$B$28,Kalkulator!$B$21*A40)</f>
        <v>12000</v>
      </c>
      <c r="E40" s="18" t="n">
        <f aca="false">B40+C40</f>
        <v>12000</v>
      </c>
      <c r="F40" s="18" t="n">
        <f aca="false">IF(A40&lt;Kalkulator!$B$29,0,MIN(Kalkulator!$B$11,Kalkulator!$B$22*(A40-Kalkulator!$B$29+1),IF(Kalkulator!$B$29=1,E40,E39)))</f>
        <v>12000</v>
      </c>
      <c r="G40" s="18" t="n">
        <f aca="false">F40-F39</f>
        <v>0</v>
      </c>
      <c r="H40" s="18" t="n">
        <f aca="false">IF(A40&lt;=Kalkulator!$B$29,0,MIN(Kalkulator!$B$11,Kalkulator!$B$23*12*(A40-Kalkulator!$B$29),F39,D39))</f>
        <v>12000</v>
      </c>
      <c r="I40" s="18" t="n">
        <f aca="false">(H40-H39)/12</f>
        <v>0</v>
      </c>
      <c r="J40" s="18" t="n">
        <f aca="false">E40-E39</f>
        <v>0</v>
      </c>
      <c r="K40" s="18" t="n">
        <f aca="false">D40-D39</f>
        <v>0</v>
      </c>
      <c r="L40" s="18" t="n">
        <f aca="false">(Kalkulator!$B$11-H40)/12</f>
        <v>0</v>
      </c>
    </row>
    <row r="41" customFormat="false" ht="15" hidden="false" customHeight="false" outlineLevel="0" collapsed="false">
      <c r="A41" s="18" t="n">
        <v>37</v>
      </c>
      <c r="B41" s="18" t="n">
        <f aca="false">MIN(Kalkulator!$B$26,Kalkulator!$B$19*A41)</f>
        <v>7500</v>
      </c>
      <c r="C41" s="18" t="n">
        <f aca="false">MIN(Kalkulator!$B$27,Kalkulator!$B$20*A41)</f>
        <v>4500</v>
      </c>
      <c r="D41" s="18" t="n">
        <f aca="false">MIN(Kalkulator!$B$28,Kalkulator!$B$21*A41)</f>
        <v>12000</v>
      </c>
      <c r="E41" s="18" t="n">
        <f aca="false">B41+C41</f>
        <v>12000</v>
      </c>
      <c r="F41" s="18" t="n">
        <f aca="false">IF(A41&lt;Kalkulator!$B$29,0,MIN(Kalkulator!$B$11,Kalkulator!$B$22*(A41-Kalkulator!$B$29+1),IF(Kalkulator!$B$29=1,E41,E40)))</f>
        <v>12000</v>
      </c>
      <c r="G41" s="18" t="n">
        <f aca="false">F41-F40</f>
        <v>0</v>
      </c>
      <c r="H41" s="18" t="n">
        <f aca="false">IF(A41&lt;=Kalkulator!$B$29,0,MIN(Kalkulator!$B$11,Kalkulator!$B$23*12*(A41-Kalkulator!$B$29),F40,D40))</f>
        <v>12000</v>
      </c>
      <c r="I41" s="18" t="n">
        <f aca="false">(H41-H40)/12</f>
        <v>0</v>
      </c>
      <c r="J41" s="18" t="n">
        <f aca="false">E41-E40</f>
        <v>0</v>
      </c>
      <c r="K41" s="18" t="n">
        <f aca="false">D41-D40</f>
        <v>0</v>
      </c>
      <c r="L41" s="18" t="n">
        <f aca="false">(Kalkulator!$B$11-H41)/12</f>
        <v>0</v>
      </c>
    </row>
    <row r="42" customFormat="false" ht="15" hidden="false" customHeight="false" outlineLevel="0" collapsed="false">
      <c r="A42" s="18" t="n">
        <v>38</v>
      </c>
      <c r="B42" s="18" t="n">
        <f aca="false">MIN(Kalkulator!$B$26,Kalkulator!$B$19*A42)</f>
        <v>7500</v>
      </c>
      <c r="C42" s="18" t="n">
        <f aca="false">MIN(Kalkulator!$B$27,Kalkulator!$B$20*A42)</f>
        <v>4500</v>
      </c>
      <c r="D42" s="18" t="n">
        <f aca="false">MIN(Kalkulator!$B$28,Kalkulator!$B$21*A42)</f>
        <v>12000</v>
      </c>
      <c r="E42" s="18" t="n">
        <f aca="false">B42+C42</f>
        <v>12000</v>
      </c>
      <c r="F42" s="18" t="n">
        <f aca="false">IF(A42&lt;Kalkulator!$B$29,0,MIN(Kalkulator!$B$11,Kalkulator!$B$22*(A42-Kalkulator!$B$29+1),IF(Kalkulator!$B$29=1,E42,E41)))</f>
        <v>12000</v>
      </c>
      <c r="G42" s="18" t="n">
        <f aca="false">F42-F41</f>
        <v>0</v>
      </c>
      <c r="H42" s="18" t="n">
        <f aca="false">IF(A42&lt;=Kalkulator!$B$29,0,MIN(Kalkulator!$B$11,Kalkulator!$B$23*12*(A42-Kalkulator!$B$29),F41,D41))</f>
        <v>12000</v>
      </c>
      <c r="I42" s="18" t="n">
        <f aca="false">(H42-H41)/12</f>
        <v>0</v>
      </c>
      <c r="J42" s="18" t="n">
        <f aca="false">E42-E41</f>
        <v>0</v>
      </c>
      <c r="K42" s="18" t="n">
        <f aca="false">D42-D41</f>
        <v>0</v>
      </c>
      <c r="L42" s="18" t="n">
        <f aca="false">(Kalkulator!$B$11-H42)/12</f>
        <v>0</v>
      </c>
    </row>
    <row r="43" customFormat="false" ht="15" hidden="false" customHeight="false" outlineLevel="0" collapsed="false">
      <c r="A43" s="18" t="n">
        <v>39</v>
      </c>
      <c r="B43" s="18" t="n">
        <f aca="false">MIN(Kalkulator!$B$26,Kalkulator!$B$19*A43)</f>
        <v>7500</v>
      </c>
      <c r="C43" s="18" t="n">
        <f aca="false">MIN(Kalkulator!$B$27,Kalkulator!$B$20*A43)</f>
        <v>4500</v>
      </c>
      <c r="D43" s="18" t="n">
        <f aca="false">MIN(Kalkulator!$B$28,Kalkulator!$B$21*A43)</f>
        <v>12000</v>
      </c>
      <c r="E43" s="18" t="n">
        <f aca="false">B43+C43</f>
        <v>12000</v>
      </c>
      <c r="F43" s="18" t="n">
        <f aca="false">IF(A43&lt;Kalkulator!$B$29,0,MIN(Kalkulator!$B$11,Kalkulator!$B$22*(A43-Kalkulator!$B$29+1),IF(Kalkulator!$B$29=1,E43,E42)))</f>
        <v>12000</v>
      </c>
      <c r="G43" s="18" t="n">
        <f aca="false">F43-F42</f>
        <v>0</v>
      </c>
      <c r="H43" s="18" t="n">
        <f aca="false">IF(A43&lt;=Kalkulator!$B$29,0,MIN(Kalkulator!$B$11,Kalkulator!$B$23*12*(A43-Kalkulator!$B$29),F42,D42))</f>
        <v>12000</v>
      </c>
      <c r="I43" s="18" t="n">
        <f aca="false">(H43-H42)/12</f>
        <v>0</v>
      </c>
      <c r="J43" s="18" t="n">
        <f aca="false">E43-E42</f>
        <v>0</v>
      </c>
      <c r="K43" s="18" t="n">
        <f aca="false">D43-D42</f>
        <v>0</v>
      </c>
      <c r="L43" s="18" t="n">
        <f aca="false">(Kalkulator!$B$11-H43)/12</f>
        <v>0</v>
      </c>
    </row>
    <row r="44" customFormat="false" ht="15" hidden="false" customHeight="false" outlineLevel="0" collapsed="false">
      <c r="A44" s="18" t="n">
        <v>40</v>
      </c>
      <c r="B44" s="18" t="n">
        <f aca="false">MIN(Kalkulator!$B$26,Kalkulator!$B$19*A44)</f>
        <v>7500</v>
      </c>
      <c r="C44" s="18" t="n">
        <f aca="false">MIN(Kalkulator!$B$27,Kalkulator!$B$20*A44)</f>
        <v>4500</v>
      </c>
      <c r="D44" s="18" t="n">
        <f aca="false">MIN(Kalkulator!$B$28,Kalkulator!$B$21*A44)</f>
        <v>12000</v>
      </c>
      <c r="E44" s="18" t="n">
        <f aca="false">B44+C44</f>
        <v>12000</v>
      </c>
      <c r="F44" s="18" t="n">
        <f aca="false">IF(A44&lt;Kalkulator!$B$29,0,MIN(Kalkulator!$B$11,Kalkulator!$B$22*(A44-Kalkulator!$B$29+1),IF(Kalkulator!$B$29=1,E44,E43)))</f>
        <v>12000</v>
      </c>
      <c r="G44" s="18" t="n">
        <f aca="false">F44-F43</f>
        <v>0</v>
      </c>
      <c r="H44" s="18" t="n">
        <f aca="false">IF(A44&lt;=Kalkulator!$B$29,0,MIN(Kalkulator!$B$11,Kalkulator!$B$23*12*(A44-Kalkulator!$B$29),F43,D43))</f>
        <v>12000</v>
      </c>
      <c r="I44" s="18" t="n">
        <f aca="false">(H44-H43)/12</f>
        <v>0</v>
      </c>
      <c r="J44" s="18" t="n">
        <f aca="false">E44-E43</f>
        <v>0</v>
      </c>
      <c r="K44" s="18" t="n">
        <f aca="false">D44-D43</f>
        <v>0</v>
      </c>
      <c r="L44" s="18" t="n">
        <f aca="false">(Kalkulator!$B$11-H44)/12</f>
        <v>0</v>
      </c>
    </row>
    <row r="45" customFormat="false" ht="15" hidden="false" customHeight="false" outlineLevel="0" collapsed="false">
      <c r="A45" s="18" t="n">
        <v>41</v>
      </c>
      <c r="B45" s="18" t="n">
        <f aca="false">MIN(Kalkulator!$B$26,Kalkulator!$B$19*A45)</f>
        <v>7500</v>
      </c>
      <c r="C45" s="18" t="n">
        <f aca="false">MIN(Kalkulator!$B$27,Kalkulator!$B$20*A45)</f>
        <v>4500</v>
      </c>
      <c r="D45" s="18" t="n">
        <f aca="false">MIN(Kalkulator!$B$28,Kalkulator!$B$21*A45)</f>
        <v>12000</v>
      </c>
      <c r="E45" s="18" t="n">
        <f aca="false">B45+C45</f>
        <v>12000</v>
      </c>
      <c r="F45" s="18" t="n">
        <f aca="false">IF(A45&lt;Kalkulator!$B$29,0,MIN(Kalkulator!$B$11,Kalkulator!$B$22*(A45-Kalkulator!$B$29+1),IF(Kalkulator!$B$29=1,E45,E44)))</f>
        <v>12000</v>
      </c>
      <c r="G45" s="18" t="n">
        <f aca="false">F45-F44</f>
        <v>0</v>
      </c>
      <c r="H45" s="18" t="n">
        <f aca="false">IF(A45&lt;=Kalkulator!$B$29,0,MIN(Kalkulator!$B$11,Kalkulator!$B$23*12*(A45-Kalkulator!$B$29),F44,D44))</f>
        <v>12000</v>
      </c>
      <c r="I45" s="18" t="n">
        <f aca="false">(H45-H44)/12</f>
        <v>0</v>
      </c>
      <c r="J45" s="18" t="n">
        <f aca="false">E45-E44</f>
        <v>0</v>
      </c>
      <c r="K45" s="18" t="n">
        <f aca="false">D45-D44</f>
        <v>0</v>
      </c>
      <c r="L45" s="18" t="n">
        <f aca="false">(Kalkulator!$B$11-H45)/12</f>
        <v>0</v>
      </c>
    </row>
    <row r="46" customFormat="false" ht="15" hidden="false" customHeight="false" outlineLevel="0" collapsed="false">
      <c r="A46" s="18" t="n">
        <v>42</v>
      </c>
      <c r="B46" s="18" t="n">
        <f aca="false">MIN(Kalkulator!$B$26,Kalkulator!$B$19*A46)</f>
        <v>7500</v>
      </c>
      <c r="C46" s="18" t="n">
        <f aca="false">MIN(Kalkulator!$B$27,Kalkulator!$B$20*A46)</f>
        <v>4500</v>
      </c>
      <c r="D46" s="18" t="n">
        <f aca="false">MIN(Kalkulator!$B$28,Kalkulator!$B$21*A46)</f>
        <v>12000</v>
      </c>
      <c r="E46" s="18" t="n">
        <f aca="false">B46+C46</f>
        <v>12000</v>
      </c>
      <c r="F46" s="18" t="n">
        <f aca="false">IF(A46&lt;Kalkulator!$B$29,0,MIN(Kalkulator!$B$11,Kalkulator!$B$22*(A46-Kalkulator!$B$29+1),IF(Kalkulator!$B$29=1,E46,E45)))</f>
        <v>12000</v>
      </c>
      <c r="G46" s="18" t="n">
        <f aca="false">F46-F45</f>
        <v>0</v>
      </c>
      <c r="H46" s="18" t="n">
        <f aca="false">IF(A46&lt;=Kalkulator!$B$29,0,MIN(Kalkulator!$B$11,Kalkulator!$B$23*12*(A46-Kalkulator!$B$29),F45,D45))</f>
        <v>12000</v>
      </c>
      <c r="I46" s="18" t="n">
        <f aca="false">(H46-H45)/12</f>
        <v>0</v>
      </c>
      <c r="J46" s="18" t="n">
        <f aca="false">E46-E45</f>
        <v>0</v>
      </c>
      <c r="K46" s="18" t="n">
        <f aca="false">D46-D45</f>
        <v>0</v>
      </c>
      <c r="L46" s="18" t="n">
        <f aca="false">(Kalkulator!$B$11-H46)/12</f>
        <v>0</v>
      </c>
    </row>
    <row r="47" customFormat="false" ht="15" hidden="false" customHeight="false" outlineLevel="0" collapsed="false">
      <c r="A47" s="18" t="n">
        <v>43</v>
      </c>
      <c r="B47" s="18" t="n">
        <f aca="false">MIN(Kalkulator!$B$26,Kalkulator!$B$19*A47)</f>
        <v>7500</v>
      </c>
      <c r="C47" s="18" t="n">
        <f aca="false">MIN(Kalkulator!$B$27,Kalkulator!$B$20*A47)</f>
        <v>4500</v>
      </c>
      <c r="D47" s="18" t="n">
        <f aca="false">MIN(Kalkulator!$B$28,Kalkulator!$B$21*A47)</f>
        <v>12000</v>
      </c>
      <c r="E47" s="18" t="n">
        <f aca="false">B47+C47</f>
        <v>12000</v>
      </c>
      <c r="F47" s="18" t="n">
        <f aca="false">IF(A47&lt;Kalkulator!$B$29,0,MIN(Kalkulator!$B$11,Kalkulator!$B$22*(A47-Kalkulator!$B$29+1),IF(Kalkulator!$B$29=1,E47,E46)))</f>
        <v>12000</v>
      </c>
      <c r="G47" s="18" t="n">
        <f aca="false">F47-F46</f>
        <v>0</v>
      </c>
      <c r="H47" s="18" t="n">
        <f aca="false">IF(A47&lt;=Kalkulator!$B$29,0,MIN(Kalkulator!$B$11,Kalkulator!$B$23*12*(A47-Kalkulator!$B$29),F46,D46))</f>
        <v>12000</v>
      </c>
      <c r="I47" s="18" t="n">
        <f aca="false">(H47-H46)/12</f>
        <v>0</v>
      </c>
      <c r="J47" s="18" t="n">
        <f aca="false">E47-E46</f>
        <v>0</v>
      </c>
      <c r="K47" s="18" t="n">
        <f aca="false">D47-D46</f>
        <v>0</v>
      </c>
      <c r="L47" s="18" t="n">
        <f aca="false">(Kalkulator!$B$11-H47)/12</f>
        <v>0</v>
      </c>
    </row>
    <row r="48" customFormat="false" ht="15" hidden="false" customHeight="false" outlineLevel="0" collapsed="false">
      <c r="A48" s="18" t="n">
        <v>44</v>
      </c>
      <c r="B48" s="18" t="n">
        <f aca="false">MIN(Kalkulator!$B$26,Kalkulator!$B$19*A48)</f>
        <v>7500</v>
      </c>
      <c r="C48" s="18" t="n">
        <f aca="false">MIN(Kalkulator!$B$27,Kalkulator!$B$20*A48)</f>
        <v>4500</v>
      </c>
      <c r="D48" s="18" t="n">
        <f aca="false">MIN(Kalkulator!$B$28,Kalkulator!$B$21*A48)</f>
        <v>12000</v>
      </c>
      <c r="E48" s="18" t="n">
        <f aca="false">B48+C48</f>
        <v>12000</v>
      </c>
      <c r="F48" s="18" t="n">
        <f aca="false">IF(A48&lt;Kalkulator!$B$29,0,MIN(Kalkulator!$B$11,Kalkulator!$B$22*(A48-Kalkulator!$B$29+1),IF(Kalkulator!$B$29=1,E48,E47)))</f>
        <v>12000</v>
      </c>
      <c r="G48" s="18" t="n">
        <f aca="false">F48-F47</f>
        <v>0</v>
      </c>
      <c r="H48" s="18" t="n">
        <f aca="false">IF(A48&lt;=Kalkulator!$B$29,0,MIN(Kalkulator!$B$11,Kalkulator!$B$23*12*(A48-Kalkulator!$B$29),F47,D47))</f>
        <v>12000</v>
      </c>
      <c r="I48" s="18" t="n">
        <f aca="false">(H48-H47)/12</f>
        <v>0</v>
      </c>
      <c r="J48" s="18" t="n">
        <f aca="false">E48-E47</f>
        <v>0</v>
      </c>
      <c r="K48" s="18" t="n">
        <f aca="false">D48-D47</f>
        <v>0</v>
      </c>
      <c r="L48" s="18" t="n">
        <f aca="false">(Kalkulator!$B$11-H48)/12</f>
        <v>0</v>
      </c>
    </row>
    <row r="49" customFormat="false" ht="15" hidden="false" customHeight="false" outlineLevel="0" collapsed="false">
      <c r="A49" s="18" t="n">
        <v>45</v>
      </c>
      <c r="B49" s="18" t="n">
        <f aca="false">MIN(Kalkulator!$B$26,Kalkulator!$B$19*A49)</f>
        <v>7500</v>
      </c>
      <c r="C49" s="18" t="n">
        <f aca="false">MIN(Kalkulator!$B$27,Kalkulator!$B$20*A49)</f>
        <v>4500</v>
      </c>
      <c r="D49" s="18" t="n">
        <f aca="false">MIN(Kalkulator!$B$28,Kalkulator!$B$21*A49)</f>
        <v>12000</v>
      </c>
      <c r="E49" s="18" t="n">
        <f aca="false">B49+C49</f>
        <v>12000</v>
      </c>
      <c r="F49" s="18" t="n">
        <f aca="false">IF(A49&lt;Kalkulator!$B$29,0,MIN(Kalkulator!$B$11,Kalkulator!$B$22*(A49-Kalkulator!$B$29+1),IF(Kalkulator!$B$29=1,E49,E48)))</f>
        <v>12000</v>
      </c>
      <c r="G49" s="18" t="n">
        <f aca="false">F49-F48</f>
        <v>0</v>
      </c>
      <c r="H49" s="18" t="n">
        <f aca="false">IF(A49&lt;=Kalkulator!$B$29,0,MIN(Kalkulator!$B$11,Kalkulator!$B$23*12*(A49-Kalkulator!$B$29),F48,D48))</f>
        <v>12000</v>
      </c>
      <c r="I49" s="18" t="n">
        <f aca="false">(H49-H48)/12</f>
        <v>0</v>
      </c>
      <c r="J49" s="18" t="n">
        <f aca="false">E49-E48</f>
        <v>0</v>
      </c>
      <c r="K49" s="18" t="n">
        <f aca="false">D49-D48</f>
        <v>0</v>
      </c>
      <c r="L49" s="18" t="n">
        <f aca="false">(Kalkulator!$B$11-H49)/12</f>
        <v>0</v>
      </c>
    </row>
    <row r="50" customFormat="false" ht="15" hidden="false" customHeight="false" outlineLevel="0" collapsed="false">
      <c r="A50" s="18" t="n">
        <v>46</v>
      </c>
      <c r="B50" s="18" t="n">
        <f aca="false">MIN(Kalkulator!$B$26,Kalkulator!$B$19*A50)</f>
        <v>7500</v>
      </c>
      <c r="C50" s="18" t="n">
        <f aca="false">MIN(Kalkulator!$B$27,Kalkulator!$B$20*A50)</f>
        <v>4500</v>
      </c>
      <c r="D50" s="18" t="n">
        <f aca="false">MIN(Kalkulator!$B$28,Kalkulator!$B$21*A50)</f>
        <v>12000</v>
      </c>
      <c r="E50" s="18" t="n">
        <f aca="false">B50+C50</f>
        <v>12000</v>
      </c>
      <c r="F50" s="18" t="n">
        <f aca="false">IF(A50&lt;Kalkulator!$B$29,0,MIN(Kalkulator!$B$11,Kalkulator!$B$22*(A50-Kalkulator!$B$29+1),IF(Kalkulator!$B$29=1,E50,E49)))</f>
        <v>12000</v>
      </c>
      <c r="G50" s="18" t="n">
        <f aca="false">F50-F49</f>
        <v>0</v>
      </c>
      <c r="H50" s="18" t="n">
        <f aca="false">IF(A50&lt;=Kalkulator!$B$29,0,MIN(Kalkulator!$B$11,Kalkulator!$B$23*12*(A50-Kalkulator!$B$29),F49,D49))</f>
        <v>12000</v>
      </c>
      <c r="I50" s="18" t="n">
        <f aca="false">(H50-H49)/12</f>
        <v>0</v>
      </c>
      <c r="J50" s="18" t="n">
        <f aca="false">E50-E49</f>
        <v>0</v>
      </c>
      <c r="K50" s="18" t="n">
        <f aca="false">D50-D49</f>
        <v>0</v>
      </c>
      <c r="L50" s="18" t="n">
        <f aca="false">(Kalkulator!$B$11-H50)/12</f>
        <v>0</v>
      </c>
    </row>
    <row r="51" customFormat="false" ht="15" hidden="false" customHeight="false" outlineLevel="0" collapsed="false">
      <c r="A51" s="18" t="n">
        <v>47</v>
      </c>
      <c r="B51" s="18" t="n">
        <f aca="false">MIN(Kalkulator!$B$26,Kalkulator!$B$19*A51)</f>
        <v>7500</v>
      </c>
      <c r="C51" s="18" t="n">
        <f aca="false">MIN(Kalkulator!$B$27,Kalkulator!$B$20*A51)</f>
        <v>4500</v>
      </c>
      <c r="D51" s="18" t="n">
        <f aca="false">MIN(Kalkulator!$B$28,Kalkulator!$B$21*A51)</f>
        <v>12000</v>
      </c>
      <c r="E51" s="18" t="n">
        <f aca="false">B51+C51</f>
        <v>12000</v>
      </c>
      <c r="F51" s="18" t="n">
        <f aca="false">IF(A51&lt;Kalkulator!$B$29,0,MIN(Kalkulator!$B$11,Kalkulator!$B$22*(A51-Kalkulator!$B$29+1),IF(Kalkulator!$B$29=1,E51,E50)))</f>
        <v>12000</v>
      </c>
      <c r="G51" s="18" t="n">
        <f aca="false">F51-F50</f>
        <v>0</v>
      </c>
      <c r="H51" s="18" t="n">
        <f aca="false">IF(A51&lt;=Kalkulator!$B$29,0,MIN(Kalkulator!$B$11,Kalkulator!$B$23*12*(A51-Kalkulator!$B$29),F50,D50))</f>
        <v>12000</v>
      </c>
      <c r="I51" s="18" t="n">
        <f aca="false">(H51-H50)/12</f>
        <v>0</v>
      </c>
      <c r="J51" s="18" t="n">
        <f aca="false">E51-E50</f>
        <v>0</v>
      </c>
      <c r="K51" s="18" t="n">
        <f aca="false">D51-D50</f>
        <v>0</v>
      </c>
      <c r="L51" s="18" t="n">
        <f aca="false">(Kalkulator!$B$11-H51)/12</f>
        <v>0</v>
      </c>
    </row>
    <row r="52" customFormat="false" ht="15" hidden="false" customHeight="false" outlineLevel="0" collapsed="false">
      <c r="A52" s="18" t="n">
        <v>48</v>
      </c>
      <c r="B52" s="18" t="n">
        <f aca="false">MIN(Kalkulator!$B$26,Kalkulator!$B$19*A52)</f>
        <v>7500</v>
      </c>
      <c r="C52" s="18" t="n">
        <f aca="false">MIN(Kalkulator!$B$27,Kalkulator!$B$20*A52)</f>
        <v>4500</v>
      </c>
      <c r="D52" s="18" t="n">
        <f aca="false">MIN(Kalkulator!$B$28,Kalkulator!$B$21*A52)</f>
        <v>12000</v>
      </c>
      <c r="E52" s="18" t="n">
        <f aca="false">B52+C52</f>
        <v>12000</v>
      </c>
      <c r="F52" s="18" t="n">
        <f aca="false">IF(A52&lt;Kalkulator!$B$29,0,MIN(Kalkulator!$B$11,Kalkulator!$B$22*(A52-Kalkulator!$B$29+1),IF(Kalkulator!$B$29=1,E52,E51)))</f>
        <v>12000</v>
      </c>
      <c r="G52" s="18" t="n">
        <f aca="false">F52-F51</f>
        <v>0</v>
      </c>
      <c r="H52" s="18" t="n">
        <f aca="false">IF(A52&lt;=Kalkulator!$B$29,0,MIN(Kalkulator!$B$11,Kalkulator!$B$23*12*(A52-Kalkulator!$B$29),F51,D51))</f>
        <v>12000</v>
      </c>
      <c r="I52" s="18" t="n">
        <f aca="false">(H52-H51)/12</f>
        <v>0</v>
      </c>
      <c r="J52" s="18" t="n">
        <f aca="false">E52-E51</f>
        <v>0</v>
      </c>
      <c r="K52" s="18" t="n">
        <f aca="false">D52-D51</f>
        <v>0</v>
      </c>
      <c r="L52" s="18" t="n">
        <f aca="false">(Kalkulator!$B$11-H52)/12</f>
        <v>0</v>
      </c>
    </row>
    <row r="53" customFormat="false" ht="15" hidden="false" customHeight="false" outlineLevel="0" collapsed="false">
      <c r="A53" s="18" t="n">
        <v>49</v>
      </c>
      <c r="B53" s="18" t="n">
        <f aca="false">MIN(Kalkulator!$B$26,Kalkulator!$B$19*A53)</f>
        <v>7500</v>
      </c>
      <c r="C53" s="18" t="n">
        <f aca="false">MIN(Kalkulator!$B$27,Kalkulator!$B$20*A53)</f>
        <v>4500</v>
      </c>
      <c r="D53" s="18" t="n">
        <f aca="false">MIN(Kalkulator!$B$28,Kalkulator!$B$21*A53)</f>
        <v>12000</v>
      </c>
      <c r="E53" s="18" t="n">
        <f aca="false">B53+C53</f>
        <v>12000</v>
      </c>
      <c r="F53" s="18" t="n">
        <f aca="false">IF(A53&lt;Kalkulator!$B$29,0,MIN(Kalkulator!$B$11,Kalkulator!$B$22*(A53-Kalkulator!$B$29+1),IF(Kalkulator!$B$29=1,E53,E52)))</f>
        <v>12000</v>
      </c>
      <c r="G53" s="18" t="n">
        <f aca="false">F53-F52</f>
        <v>0</v>
      </c>
      <c r="H53" s="18" t="n">
        <f aca="false">IF(A53&lt;=Kalkulator!$B$29,0,MIN(Kalkulator!$B$11,Kalkulator!$B$23*12*(A53-Kalkulator!$B$29),F52,D52))</f>
        <v>12000</v>
      </c>
      <c r="I53" s="18" t="n">
        <f aca="false">(H53-H52)/12</f>
        <v>0</v>
      </c>
      <c r="J53" s="18" t="n">
        <f aca="false">E53-E52</f>
        <v>0</v>
      </c>
      <c r="K53" s="18" t="n">
        <f aca="false">D53-D52</f>
        <v>0</v>
      </c>
      <c r="L53" s="18" t="n">
        <f aca="false">(Kalkulator!$B$11-H53)/12</f>
        <v>0</v>
      </c>
    </row>
    <row r="54" customFormat="false" ht="15" hidden="false" customHeight="false" outlineLevel="0" collapsed="false">
      <c r="A54" s="18" t="n">
        <v>50</v>
      </c>
      <c r="B54" s="18" t="n">
        <f aca="false">MIN(Kalkulator!$B$26,Kalkulator!$B$19*A54)</f>
        <v>7500</v>
      </c>
      <c r="C54" s="18" t="n">
        <f aca="false">MIN(Kalkulator!$B$27,Kalkulator!$B$20*A54)</f>
        <v>4500</v>
      </c>
      <c r="D54" s="18" t="n">
        <f aca="false">MIN(Kalkulator!$B$28,Kalkulator!$B$21*A54)</f>
        <v>12000</v>
      </c>
      <c r="E54" s="18" t="n">
        <f aca="false">B54+C54</f>
        <v>12000</v>
      </c>
      <c r="F54" s="18" t="n">
        <f aca="false">IF(A54&lt;Kalkulator!$B$29,0,MIN(Kalkulator!$B$11,Kalkulator!$B$22*(A54-Kalkulator!$B$29+1),IF(Kalkulator!$B$29=1,E54,E53)))</f>
        <v>12000</v>
      </c>
      <c r="G54" s="18" t="n">
        <f aca="false">F54-F53</f>
        <v>0</v>
      </c>
      <c r="H54" s="18" t="n">
        <f aca="false">IF(A54&lt;=Kalkulator!$B$29,0,MIN(Kalkulator!$B$11,Kalkulator!$B$23*12*(A54-Kalkulator!$B$29),F53,D53))</f>
        <v>12000</v>
      </c>
      <c r="I54" s="18" t="n">
        <f aca="false">(H54-H53)/12</f>
        <v>0</v>
      </c>
      <c r="J54" s="18" t="n">
        <f aca="false">E54-E53</f>
        <v>0</v>
      </c>
      <c r="K54" s="18" t="n">
        <f aca="false">D54-D53</f>
        <v>0</v>
      </c>
      <c r="L54" s="18" t="n">
        <f aca="false">(Kalkulator!$B$11-H54)/12</f>
        <v>0</v>
      </c>
    </row>
    <row r="55" customFormat="false" ht="15" hidden="false" customHeight="false" outlineLevel="0" collapsed="false">
      <c r="A55" s="18" t="n">
        <v>51</v>
      </c>
      <c r="B55" s="18" t="n">
        <f aca="false">MIN(Kalkulator!$B$26,Kalkulator!$B$19*A55)</f>
        <v>7500</v>
      </c>
      <c r="C55" s="18" t="n">
        <f aca="false">MIN(Kalkulator!$B$27,Kalkulator!$B$20*A55)</f>
        <v>4500</v>
      </c>
      <c r="D55" s="18" t="n">
        <f aca="false">MIN(Kalkulator!$B$28,Kalkulator!$B$21*A55)</f>
        <v>12000</v>
      </c>
      <c r="E55" s="18" t="n">
        <f aca="false">B55+C55</f>
        <v>12000</v>
      </c>
      <c r="F55" s="18" t="n">
        <f aca="false">IF(A55&lt;Kalkulator!$B$29,0,MIN(Kalkulator!$B$11,Kalkulator!$B$22*(A55-Kalkulator!$B$29+1),IF(Kalkulator!$B$29=1,E55,E54)))</f>
        <v>12000</v>
      </c>
      <c r="G55" s="18" t="n">
        <f aca="false">F55-F54</f>
        <v>0</v>
      </c>
      <c r="H55" s="18" t="n">
        <f aca="false">IF(A55&lt;=Kalkulator!$B$29,0,MIN(Kalkulator!$B$11,Kalkulator!$B$23*12*(A55-Kalkulator!$B$29),F54,D54))</f>
        <v>12000</v>
      </c>
      <c r="I55" s="18" t="n">
        <f aca="false">(H55-H54)/12</f>
        <v>0</v>
      </c>
      <c r="J55" s="18" t="n">
        <f aca="false">E55-E54</f>
        <v>0</v>
      </c>
      <c r="K55" s="18" t="n">
        <f aca="false">D55-D54</f>
        <v>0</v>
      </c>
      <c r="L55" s="18" t="n">
        <f aca="false">(Kalkulator!$B$11-H55)/12</f>
        <v>0</v>
      </c>
    </row>
    <row r="56" customFormat="false" ht="15" hidden="false" customHeight="false" outlineLevel="0" collapsed="false">
      <c r="A56" s="18" t="n">
        <v>52</v>
      </c>
      <c r="B56" s="18" t="n">
        <f aca="false">MIN(Kalkulator!$B$26,Kalkulator!$B$19*A56)</f>
        <v>7500</v>
      </c>
      <c r="C56" s="18" t="n">
        <f aca="false">MIN(Kalkulator!$B$27,Kalkulator!$B$20*A56)</f>
        <v>4500</v>
      </c>
      <c r="D56" s="18" t="n">
        <f aca="false">MIN(Kalkulator!$B$28,Kalkulator!$B$21*A56)</f>
        <v>12000</v>
      </c>
      <c r="E56" s="18" t="n">
        <f aca="false">B56+C56</f>
        <v>12000</v>
      </c>
      <c r="F56" s="18" t="n">
        <f aca="false">IF(A56&lt;Kalkulator!$B$29,0,MIN(Kalkulator!$B$11,Kalkulator!$B$22*(A56-Kalkulator!$B$29+1),IF(Kalkulator!$B$29=1,E56,E55)))</f>
        <v>12000</v>
      </c>
      <c r="G56" s="18" t="n">
        <f aca="false">F56-F55</f>
        <v>0</v>
      </c>
      <c r="H56" s="18" t="n">
        <f aca="false">IF(A56&lt;=Kalkulator!$B$29,0,MIN(Kalkulator!$B$11,Kalkulator!$B$23*12*(A56-Kalkulator!$B$29),F55,D55))</f>
        <v>12000</v>
      </c>
      <c r="I56" s="18" t="n">
        <f aca="false">(H56-H55)/12</f>
        <v>0</v>
      </c>
      <c r="J56" s="18" t="n">
        <f aca="false">E56-E55</f>
        <v>0</v>
      </c>
      <c r="K56" s="18" t="n">
        <f aca="false">D56-D55</f>
        <v>0</v>
      </c>
      <c r="L56" s="18" t="n">
        <f aca="false">(Kalkulator!$B$11-H56)/12</f>
        <v>0</v>
      </c>
    </row>
    <row r="57" customFormat="false" ht="15" hidden="false" customHeight="false" outlineLevel="0" collapsed="false">
      <c r="A57" s="18" t="n">
        <v>53</v>
      </c>
      <c r="B57" s="18" t="n">
        <f aca="false">MIN(Kalkulator!$B$26,Kalkulator!$B$19*A57)</f>
        <v>7500</v>
      </c>
      <c r="C57" s="18" t="n">
        <f aca="false">MIN(Kalkulator!$B$27,Kalkulator!$B$20*A57)</f>
        <v>4500</v>
      </c>
      <c r="D57" s="18" t="n">
        <f aca="false">MIN(Kalkulator!$B$28,Kalkulator!$B$21*A57)</f>
        <v>12000</v>
      </c>
      <c r="E57" s="18" t="n">
        <f aca="false">B57+C57</f>
        <v>12000</v>
      </c>
      <c r="F57" s="18" t="n">
        <f aca="false">IF(A57&lt;Kalkulator!$B$29,0,MIN(Kalkulator!$B$11,Kalkulator!$B$22*(A57-Kalkulator!$B$29+1),IF(Kalkulator!$B$29=1,E57,E56)))</f>
        <v>12000</v>
      </c>
      <c r="G57" s="18" t="n">
        <f aca="false">F57-F56</f>
        <v>0</v>
      </c>
      <c r="H57" s="18" t="n">
        <f aca="false">IF(A57&lt;=Kalkulator!$B$29,0,MIN(Kalkulator!$B$11,Kalkulator!$B$23*12*(A57-Kalkulator!$B$29),F56,D56))</f>
        <v>12000</v>
      </c>
      <c r="I57" s="18" t="n">
        <f aca="false">(H57-H56)/12</f>
        <v>0</v>
      </c>
      <c r="J57" s="18" t="n">
        <f aca="false">E57-E56</f>
        <v>0</v>
      </c>
      <c r="K57" s="18" t="n">
        <f aca="false">D57-D56</f>
        <v>0</v>
      </c>
      <c r="L57" s="18" t="n">
        <f aca="false">(Kalkulator!$B$11-H57)/12</f>
        <v>0</v>
      </c>
    </row>
    <row r="58" customFormat="false" ht="15" hidden="false" customHeight="false" outlineLevel="0" collapsed="false">
      <c r="A58" s="18" t="n">
        <v>54</v>
      </c>
      <c r="B58" s="18" t="n">
        <f aca="false">MIN(Kalkulator!$B$26,Kalkulator!$B$19*A58)</f>
        <v>7500</v>
      </c>
      <c r="C58" s="18" t="n">
        <f aca="false">MIN(Kalkulator!$B$27,Kalkulator!$B$20*A58)</f>
        <v>4500</v>
      </c>
      <c r="D58" s="18" t="n">
        <f aca="false">MIN(Kalkulator!$B$28,Kalkulator!$B$21*A58)</f>
        <v>12000</v>
      </c>
      <c r="E58" s="18" t="n">
        <f aca="false">B58+C58</f>
        <v>12000</v>
      </c>
      <c r="F58" s="18" t="n">
        <f aca="false">IF(A58&lt;Kalkulator!$B$29,0,MIN(Kalkulator!$B$11,Kalkulator!$B$22*(A58-Kalkulator!$B$29+1),IF(Kalkulator!$B$29=1,E58,E57)))</f>
        <v>12000</v>
      </c>
      <c r="G58" s="18" t="n">
        <f aca="false">F58-F57</f>
        <v>0</v>
      </c>
      <c r="H58" s="18" t="n">
        <f aca="false">IF(A58&lt;=Kalkulator!$B$29,0,MIN(Kalkulator!$B$11,Kalkulator!$B$23*12*(A58-Kalkulator!$B$29),F57,D57))</f>
        <v>12000</v>
      </c>
      <c r="I58" s="18" t="n">
        <f aca="false">(H58-H57)/12</f>
        <v>0</v>
      </c>
      <c r="J58" s="18" t="n">
        <f aca="false">E58-E57</f>
        <v>0</v>
      </c>
      <c r="K58" s="18" t="n">
        <f aca="false">D58-D57</f>
        <v>0</v>
      </c>
      <c r="L58" s="18" t="n">
        <f aca="false">(Kalkulator!$B$11-H58)/12</f>
        <v>0</v>
      </c>
    </row>
    <row r="59" customFormat="false" ht="15" hidden="false" customHeight="false" outlineLevel="0" collapsed="false">
      <c r="A59" s="18" t="n">
        <v>55</v>
      </c>
      <c r="B59" s="18" t="n">
        <f aca="false">MIN(Kalkulator!$B$26,Kalkulator!$B$19*A59)</f>
        <v>7500</v>
      </c>
      <c r="C59" s="18" t="n">
        <f aca="false">MIN(Kalkulator!$B$27,Kalkulator!$B$20*A59)</f>
        <v>4500</v>
      </c>
      <c r="D59" s="18" t="n">
        <f aca="false">MIN(Kalkulator!$B$28,Kalkulator!$B$21*A59)</f>
        <v>12000</v>
      </c>
      <c r="E59" s="18" t="n">
        <f aca="false">B59+C59</f>
        <v>12000</v>
      </c>
      <c r="F59" s="18" t="n">
        <f aca="false">IF(A59&lt;Kalkulator!$B$29,0,MIN(Kalkulator!$B$11,Kalkulator!$B$22*(A59-Kalkulator!$B$29+1),IF(Kalkulator!$B$29=1,E59,E58)))</f>
        <v>12000</v>
      </c>
      <c r="G59" s="18" t="n">
        <f aca="false">F59-F58</f>
        <v>0</v>
      </c>
      <c r="H59" s="18" t="n">
        <f aca="false">IF(A59&lt;=Kalkulator!$B$29,0,MIN(Kalkulator!$B$11,Kalkulator!$B$23*12*(A59-Kalkulator!$B$29),F58,D58))</f>
        <v>12000</v>
      </c>
      <c r="I59" s="18" t="n">
        <f aca="false">(H59-H58)/12</f>
        <v>0</v>
      </c>
      <c r="J59" s="18" t="n">
        <f aca="false">E59-E58</f>
        <v>0</v>
      </c>
      <c r="K59" s="18" t="n">
        <f aca="false">D59-D58</f>
        <v>0</v>
      </c>
      <c r="L59" s="18" t="n">
        <f aca="false">(Kalkulator!$B$11-H59)/12</f>
        <v>0</v>
      </c>
    </row>
    <row r="60" customFormat="false" ht="15" hidden="false" customHeight="false" outlineLevel="0" collapsed="false">
      <c r="A60" s="18" t="n">
        <v>56</v>
      </c>
      <c r="B60" s="18" t="n">
        <f aca="false">MIN(Kalkulator!$B$26,Kalkulator!$B$19*A60)</f>
        <v>7500</v>
      </c>
      <c r="C60" s="18" t="n">
        <f aca="false">MIN(Kalkulator!$B$27,Kalkulator!$B$20*A60)</f>
        <v>4500</v>
      </c>
      <c r="D60" s="18" t="n">
        <f aca="false">MIN(Kalkulator!$B$28,Kalkulator!$B$21*A60)</f>
        <v>12000</v>
      </c>
      <c r="E60" s="18" t="n">
        <f aca="false">B60+C60</f>
        <v>12000</v>
      </c>
      <c r="F60" s="18" t="n">
        <f aca="false">IF(A60&lt;Kalkulator!$B$29,0,MIN(Kalkulator!$B$11,Kalkulator!$B$22*(A60-Kalkulator!$B$29+1),IF(Kalkulator!$B$29=1,E60,E59)))</f>
        <v>12000</v>
      </c>
      <c r="G60" s="18" t="n">
        <f aca="false">F60-F59</f>
        <v>0</v>
      </c>
      <c r="H60" s="18" t="n">
        <f aca="false">IF(A60&lt;=Kalkulator!$B$29,0,MIN(Kalkulator!$B$11,Kalkulator!$B$23*12*(A60-Kalkulator!$B$29),F59,D59))</f>
        <v>12000</v>
      </c>
      <c r="I60" s="18" t="n">
        <f aca="false">(H60-H59)/12</f>
        <v>0</v>
      </c>
      <c r="J60" s="18" t="n">
        <f aca="false">E60-E59</f>
        <v>0</v>
      </c>
      <c r="K60" s="18" t="n">
        <f aca="false">D60-D59</f>
        <v>0</v>
      </c>
      <c r="L60" s="18" t="n">
        <f aca="false">(Kalkulator!$B$11-H60)/12</f>
        <v>0</v>
      </c>
    </row>
    <row r="61" customFormat="false" ht="15" hidden="false" customHeight="false" outlineLevel="0" collapsed="false">
      <c r="A61" s="18" t="n">
        <v>57</v>
      </c>
      <c r="B61" s="18" t="n">
        <f aca="false">MIN(Kalkulator!$B$26,Kalkulator!$B$19*A61)</f>
        <v>7500</v>
      </c>
      <c r="C61" s="18" t="n">
        <f aca="false">MIN(Kalkulator!$B$27,Kalkulator!$B$20*A61)</f>
        <v>4500</v>
      </c>
      <c r="D61" s="18" t="n">
        <f aca="false">MIN(Kalkulator!$B$28,Kalkulator!$B$21*A61)</f>
        <v>12000</v>
      </c>
      <c r="E61" s="18" t="n">
        <f aca="false">B61+C61</f>
        <v>12000</v>
      </c>
      <c r="F61" s="18" t="n">
        <f aca="false">IF(A61&lt;Kalkulator!$B$29,0,MIN(Kalkulator!$B$11,Kalkulator!$B$22*(A61-Kalkulator!$B$29+1),IF(Kalkulator!$B$29=1,E61,E60)))</f>
        <v>12000</v>
      </c>
      <c r="G61" s="18" t="n">
        <f aca="false">F61-F60</f>
        <v>0</v>
      </c>
      <c r="H61" s="18" t="n">
        <f aca="false">IF(A61&lt;=Kalkulator!$B$29,0,MIN(Kalkulator!$B$11,Kalkulator!$B$23*12*(A61-Kalkulator!$B$29),F60,D60))</f>
        <v>12000</v>
      </c>
      <c r="I61" s="18" t="n">
        <f aca="false">(H61-H60)/12</f>
        <v>0</v>
      </c>
      <c r="J61" s="18" t="n">
        <f aca="false">E61-E60</f>
        <v>0</v>
      </c>
      <c r="K61" s="18" t="n">
        <f aca="false">D61-D60</f>
        <v>0</v>
      </c>
      <c r="L61" s="18" t="n">
        <f aca="false">(Kalkulator!$B$11-H61)/12</f>
        <v>0</v>
      </c>
    </row>
    <row r="62" customFormat="false" ht="15" hidden="false" customHeight="false" outlineLevel="0" collapsed="false">
      <c r="A62" s="18" t="n">
        <v>58</v>
      </c>
      <c r="B62" s="18" t="n">
        <f aca="false">MIN(Kalkulator!$B$26,Kalkulator!$B$19*A62)</f>
        <v>7500</v>
      </c>
      <c r="C62" s="18" t="n">
        <f aca="false">MIN(Kalkulator!$B$27,Kalkulator!$B$20*A62)</f>
        <v>4500</v>
      </c>
      <c r="D62" s="18" t="n">
        <f aca="false">MIN(Kalkulator!$B$28,Kalkulator!$B$21*A62)</f>
        <v>12000</v>
      </c>
      <c r="E62" s="18" t="n">
        <f aca="false">B62+C62</f>
        <v>12000</v>
      </c>
      <c r="F62" s="18" t="n">
        <f aca="false">IF(A62&lt;Kalkulator!$B$29,0,MIN(Kalkulator!$B$11,Kalkulator!$B$22*(A62-Kalkulator!$B$29+1),IF(Kalkulator!$B$29=1,E62,E61)))</f>
        <v>12000</v>
      </c>
      <c r="G62" s="18" t="n">
        <f aca="false">F62-F61</f>
        <v>0</v>
      </c>
      <c r="H62" s="18" t="n">
        <f aca="false">IF(A62&lt;=Kalkulator!$B$29,0,MIN(Kalkulator!$B$11,Kalkulator!$B$23*12*(A62-Kalkulator!$B$29),F61,D61))</f>
        <v>12000</v>
      </c>
      <c r="I62" s="18" t="n">
        <f aca="false">(H62-H61)/12</f>
        <v>0</v>
      </c>
      <c r="J62" s="18" t="n">
        <f aca="false">E62-E61</f>
        <v>0</v>
      </c>
      <c r="K62" s="18" t="n">
        <f aca="false">D62-D61</f>
        <v>0</v>
      </c>
      <c r="L62" s="18" t="n">
        <f aca="false">(Kalkulator!$B$11-H62)/12</f>
        <v>0</v>
      </c>
    </row>
    <row r="63" customFormat="false" ht="15" hidden="false" customHeight="false" outlineLevel="0" collapsed="false">
      <c r="A63" s="18" t="n">
        <v>59</v>
      </c>
      <c r="B63" s="18" t="n">
        <f aca="false">MIN(Kalkulator!$B$26,Kalkulator!$B$19*A63)</f>
        <v>7500</v>
      </c>
      <c r="C63" s="18" t="n">
        <f aca="false">MIN(Kalkulator!$B$27,Kalkulator!$B$20*A63)</f>
        <v>4500</v>
      </c>
      <c r="D63" s="18" t="n">
        <f aca="false">MIN(Kalkulator!$B$28,Kalkulator!$B$21*A63)</f>
        <v>12000</v>
      </c>
      <c r="E63" s="18" t="n">
        <f aca="false">B63+C63</f>
        <v>12000</v>
      </c>
      <c r="F63" s="18" t="n">
        <f aca="false">IF(A63&lt;Kalkulator!$B$29,0,MIN(Kalkulator!$B$11,Kalkulator!$B$22*(A63-Kalkulator!$B$29+1),IF(Kalkulator!$B$29=1,E63,E62)))</f>
        <v>12000</v>
      </c>
      <c r="G63" s="18" t="n">
        <f aca="false">F63-F62</f>
        <v>0</v>
      </c>
      <c r="H63" s="18" t="n">
        <f aca="false">IF(A63&lt;=Kalkulator!$B$29,0,MIN(Kalkulator!$B$11,Kalkulator!$B$23*12*(A63-Kalkulator!$B$29),F62,D62))</f>
        <v>12000</v>
      </c>
      <c r="I63" s="18" t="n">
        <f aca="false">(H63-H62)/12</f>
        <v>0</v>
      </c>
      <c r="J63" s="18" t="n">
        <f aca="false">E63-E62</f>
        <v>0</v>
      </c>
      <c r="K63" s="18" t="n">
        <f aca="false">D63-D62</f>
        <v>0</v>
      </c>
      <c r="L63" s="18" t="n">
        <f aca="false">(Kalkulator!$B$11-H63)/12</f>
        <v>0</v>
      </c>
    </row>
    <row r="64" customFormat="false" ht="15" hidden="false" customHeight="false" outlineLevel="0" collapsed="false">
      <c r="A64" s="18" t="n">
        <v>60</v>
      </c>
      <c r="B64" s="18" t="n">
        <f aca="false">MIN(Kalkulator!$B$26,Kalkulator!$B$19*A64)</f>
        <v>7500</v>
      </c>
      <c r="C64" s="18" t="n">
        <f aca="false">MIN(Kalkulator!$B$27,Kalkulator!$B$20*A64)</f>
        <v>4500</v>
      </c>
      <c r="D64" s="18" t="n">
        <f aca="false">MIN(Kalkulator!$B$28,Kalkulator!$B$21*A64)</f>
        <v>12000</v>
      </c>
      <c r="E64" s="18" t="n">
        <f aca="false">B64+C64</f>
        <v>12000</v>
      </c>
      <c r="F64" s="18" t="n">
        <f aca="false">IF(A64&lt;Kalkulator!$B$29,0,MIN(Kalkulator!$B$11,Kalkulator!$B$22*(A64-Kalkulator!$B$29+1),IF(Kalkulator!$B$29=1,E64,E63)))</f>
        <v>12000</v>
      </c>
      <c r="G64" s="18" t="n">
        <f aca="false">F64-F63</f>
        <v>0</v>
      </c>
      <c r="H64" s="18" t="n">
        <f aca="false">IF(A64&lt;=Kalkulator!$B$29,0,MIN(Kalkulator!$B$11,Kalkulator!$B$23*12*(A64-Kalkulator!$B$29),F63,D63))</f>
        <v>12000</v>
      </c>
      <c r="I64" s="18" t="n">
        <f aca="false">(H64-H63)/12</f>
        <v>0</v>
      </c>
      <c r="J64" s="18" t="n">
        <f aca="false">E64-E63</f>
        <v>0</v>
      </c>
      <c r="K64" s="18" t="n">
        <f aca="false">D64-D63</f>
        <v>0</v>
      </c>
      <c r="L64" s="18" t="n">
        <f aca="false">(Kalkulator!$B$11-H64)/12</f>
        <v>0</v>
      </c>
    </row>
    <row r="65" customFormat="false" ht="15" hidden="false" customHeight="false" outlineLevel="0" collapsed="false">
      <c r="A65" s="18" t="n">
        <v>61</v>
      </c>
      <c r="B65" s="18" t="n">
        <f aca="false">MIN(Kalkulator!$B$26,Kalkulator!$B$19*A65)</f>
        <v>7500</v>
      </c>
      <c r="C65" s="18" t="n">
        <f aca="false">MIN(Kalkulator!$B$27,Kalkulator!$B$20*A65)</f>
        <v>4500</v>
      </c>
      <c r="D65" s="18" t="n">
        <f aca="false">MIN(Kalkulator!$B$28,Kalkulator!$B$21*A65)</f>
        <v>12000</v>
      </c>
      <c r="E65" s="18" t="n">
        <f aca="false">B65+C65</f>
        <v>12000</v>
      </c>
      <c r="F65" s="18" t="n">
        <f aca="false">IF(A65&lt;Kalkulator!$B$29,0,MIN(Kalkulator!$B$11,Kalkulator!$B$22*(A65-Kalkulator!$B$29+1),IF(Kalkulator!$B$29=1,E65,E64)))</f>
        <v>12000</v>
      </c>
      <c r="G65" s="18" t="n">
        <f aca="false">F65-F64</f>
        <v>0</v>
      </c>
      <c r="H65" s="18" t="n">
        <f aca="false">IF(A65&lt;=Kalkulator!$B$29,0,MIN(Kalkulator!$B$11,Kalkulator!$B$23*12*(A65-Kalkulator!$B$29),F64,D64))</f>
        <v>12000</v>
      </c>
      <c r="I65" s="18" t="n">
        <f aca="false">(H65-H64)/12</f>
        <v>0</v>
      </c>
      <c r="J65" s="18" t="n">
        <f aca="false">E65-E64</f>
        <v>0</v>
      </c>
      <c r="K65" s="18" t="n">
        <f aca="false">D65-D64</f>
        <v>0</v>
      </c>
      <c r="L65" s="18" t="n">
        <f aca="false">(Kalkulator!$B$11-H65)/12</f>
        <v>0</v>
      </c>
    </row>
    <row r="66" customFormat="false" ht="15" hidden="false" customHeight="false" outlineLevel="0" collapsed="false">
      <c r="A66" s="18" t="n">
        <v>62</v>
      </c>
      <c r="B66" s="18" t="n">
        <f aca="false">MIN(Kalkulator!$B$26,Kalkulator!$B$19*A66)</f>
        <v>7500</v>
      </c>
      <c r="C66" s="18" t="n">
        <f aca="false">MIN(Kalkulator!$B$27,Kalkulator!$B$20*A66)</f>
        <v>4500</v>
      </c>
      <c r="D66" s="18" t="n">
        <f aca="false">MIN(Kalkulator!$B$28,Kalkulator!$B$21*A66)</f>
        <v>12000</v>
      </c>
      <c r="E66" s="18" t="n">
        <f aca="false">B66+C66</f>
        <v>12000</v>
      </c>
      <c r="F66" s="18" t="n">
        <f aca="false">IF(A66&lt;Kalkulator!$B$29,0,MIN(Kalkulator!$B$11,Kalkulator!$B$22*(A66-Kalkulator!$B$29+1),IF(Kalkulator!$B$29=1,E66,E65)))</f>
        <v>12000</v>
      </c>
      <c r="G66" s="18" t="n">
        <f aca="false">F66-F65</f>
        <v>0</v>
      </c>
      <c r="H66" s="18" t="n">
        <f aca="false">IF(A66&lt;=Kalkulator!$B$29,0,MIN(Kalkulator!$B$11,Kalkulator!$B$23*12*(A66-Kalkulator!$B$29),F65,D65))</f>
        <v>12000</v>
      </c>
      <c r="I66" s="18" t="n">
        <f aca="false">(H66-H65)/12</f>
        <v>0</v>
      </c>
      <c r="J66" s="18" t="n">
        <f aca="false">E66-E65</f>
        <v>0</v>
      </c>
      <c r="K66" s="18" t="n">
        <f aca="false">D66-D65</f>
        <v>0</v>
      </c>
      <c r="L66" s="18" t="n">
        <f aca="false">(Kalkulator!$B$11-H66)/12</f>
        <v>0</v>
      </c>
    </row>
    <row r="67" customFormat="false" ht="15" hidden="false" customHeight="false" outlineLevel="0" collapsed="false">
      <c r="A67" s="18" t="n">
        <v>63</v>
      </c>
      <c r="B67" s="18" t="n">
        <f aca="false">MIN(Kalkulator!$B$26,Kalkulator!$B$19*A67)</f>
        <v>7500</v>
      </c>
      <c r="C67" s="18" t="n">
        <f aca="false">MIN(Kalkulator!$B$27,Kalkulator!$B$20*A67)</f>
        <v>4500</v>
      </c>
      <c r="D67" s="18" t="n">
        <f aca="false">MIN(Kalkulator!$B$28,Kalkulator!$B$21*A67)</f>
        <v>12000</v>
      </c>
      <c r="E67" s="18" t="n">
        <f aca="false">B67+C67</f>
        <v>12000</v>
      </c>
      <c r="F67" s="18" t="n">
        <f aca="false">IF(A67&lt;Kalkulator!$B$29,0,MIN(Kalkulator!$B$11,Kalkulator!$B$22*(A67-Kalkulator!$B$29+1),IF(Kalkulator!$B$29=1,E67,E66)))</f>
        <v>12000</v>
      </c>
      <c r="G67" s="18" t="n">
        <f aca="false">F67-F66</f>
        <v>0</v>
      </c>
      <c r="H67" s="18" t="n">
        <f aca="false">IF(A67&lt;=Kalkulator!$B$29,0,MIN(Kalkulator!$B$11,Kalkulator!$B$23*12*(A67-Kalkulator!$B$29),F66,D66))</f>
        <v>12000</v>
      </c>
      <c r="I67" s="18" t="n">
        <f aca="false">(H67-H66)/12</f>
        <v>0</v>
      </c>
      <c r="J67" s="18" t="n">
        <f aca="false">E67-E66</f>
        <v>0</v>
      </c>
      <c r="K67" s="18" t="n">
        <f aca="false">D67-D66</f>
        <v>0</v>
      </c>
      <c r="L67" s="18" t="n">
        <f aca="false">(Kalkulator!$B$11-H67)/12</f>
        <v>0</v>
      </c>
    </row>
    <row r="68" customFormat="false" ht="15" hidden="false" customHeight="false" outlineLevel="0" collapsed="false">
      <c r="A68" s="18" t="n">
        <v>64</v>
      </c>
      <c r="B68" s="18" t="n">
        <f aca="false">MIN(Kalkulator!$B$26,Kalkulator!$B$19*A68)</f>
        <v>7500</v>
      </c>
      <c r="C68" s="18" t="n">
        <f aca="false">MIN(Kalkulator!$B$27,Kalkulator!$B$20*A68)</f>
        <v>4500</v>
      </c>
      <c r="D68" s="18" t="n">
        <f aca="false">MIN(Kalkulator!$B$28,Kalkulator!$B$21*A68)</f>
        <v>12000</v>
      </c>
      <c r="E68" s="18" t="n">
        <f aca="false">B68+C68</f>
        <v>12000</v>
      </c>
      <c r="F68" s="18" t="n">
        <f aca="false">IF(A68&lt;Kalkulator!$B$29,0,MIN(Kalkulator!$B$11,Kalkulator!$B$22*(A68-Kalkulator!$B$29+1),IF(Kalkulator!$B$29=1,E68,E67)))</f>
        <v>12000</v>
      </c>
      <c r="G68" s="18" t="n">
        <f aca="false">F68-F67</f>
        <v>0</v>
      </c>
      <c r="H68" s="18" t="n">
        <f aca="false">IF(A68&lt;=Kalkulator!$B$29,0,MIN(Kalkulator!$B$11,Kalkulator!$B$23*12*(A68-Kalkulator!$B$29),F67,D67))</f>
        <v>12000</v>
      </c>
      <c r="I68" s="18" t="n">
        <f aca="false">(H68-H67)/12</f>
        <v>0</v>
      </c>
      <c r="J68" s="18" t="n">
        <f aca="false">E68-E67</f>
        <v>0</v>
      </c>
      <c r="K68" s="18" t="n">
        <f aca="false">D68-D67</f>
        <v>0</v>
      </c>
      <c r="L68" s="18" t="n">
        <f aca="false">(Kalkulator!$B$11-H68)/12</f>
        <v>0</v>
      </c>
    </row>
    <row r="69" customFormat="false" ht="15" hidden="false" customHeight="false" outlineLevel="0" collapsed="false">
      <c r="A69" s="18" t="n">
        <v>65</v>
      </c>
      <c r="B69" s="18" t="n">
        <f aca="false">MIN(Kalkulator!$B$26,Kalkulator!$B$19*A69)</f>
        <v>7500</v>
      </c>
      <c r="C69" s="18" t="n">
        <f aca="false">MIN(Kalkulator!$B$27,Kalkulator!$B$20*A69)</f>
        <v>4500</v>
      </c>
      <c r="D69" s="18" t="n">
        <f aca="false">MIN(Kalkulator!$B$28,Kalkulator!$B$21*A69)</f>
        <v>12000</v>
      </c>
      <c r="E69" s="18" t="n">
        <f aca="false">B69+C69</f>
        <v>12000</v>
      </c>
      <c r="F69" s="18" t="n">
        <f aca="false">IF(A69&lt;Kalkulator!$B$29,0,MIN(Kalkulator!$B$11,Kalkulator!$B$22*(A69-Kalkulator!$B$29+1),IF(Kalkulator!$B$29=1,E69,E68)))</f>
        <v>12000</v>
      </c>
      <c r="G69" s="18" t="n">
        <f aca="false">F69-F68</f>
        <v>0</v>
      </c>
      <c r="H69" s="18" t="n">
        <f aca="false">IF(A69&lt;=Kalkulator!$B$29,0,MIN(Kalkulator!$B$11,Kalkulator!$B$23*12*(A69-Kalkulator!$B$29),F68,D68))</f>
        <v>12000</v>
      </c>
      <c r="I69" s="18" t="n">
        <f aca="false">(H69-H68)/12</f>
        <v>0</v>
      </c>
      <c r="J69" s="18" t="n">
        <f aca="false">E69-E68</f>
        <v>0</v>
      </c>
      <c r="K69" s="18" t="n">
        <f aca="false">D69-D68</f>
        <v>0</v>
      </c>
      <c r="L69" s="18" t="n">
        <f aca="false">(Kalkulator!$B$11-H69)/12</f>
        <v>0</v>
      </c>
    </row>
    <row r="70" customFormat="false" ht="15" hidden="false" customHeight="false" outlineLevel="0" collapsed="false">
      <c r="A70" s="18" t="n">
        <v>66</v>
      </c>
      <c r="B70" s="18" t="n">
        <f aca="false">MIN(Kalkulator!$B$26,Kalkulator!$B$19*A70)</f>
        <v>7500</v>
      </c>
      <c r="C70" s="18" t="n">
        <f aca="false">MIN(Kalkulator!$B$27,Kalkulator!$B$20*A70)</f>
        <v>4500</v>
      </c>
      <c r="D70" s="18" t="n">
        <f aca="false">MIN(Kalkulator!$B$28,Kalkulator!$B$21*A70)</f>
        <v>12000</v>
      </c>
      <c r="E70" s="18" t="n">
        <f aca="false">B70+C70</f>
        <v>12000</v>
      </c>
      <c r="F70" s="18" t="n">
        <f aca="false">IF(A70&lt;Kalkulator!$B$29,0,MIN(Kalkulator!$B$11,Kalkulator!$B$22*(A70-Kalkulator!$B$29+1),IF(Kalkulator!$B$29=1,E70,E69)))</f>
        <v>12000</v>
      </c>
      <c r="G70" s="18" t="n">
        <f aca="false">F70-F69</f>
        <v>0</v>
      </c>
      <c r="H70" s="18" t="n">
        <f aca="false">IF(A70&lt;=Kalkulator!$B$29,0,MIN(Kalkulator!$B$11,Kalkulator!$B$23*12*(A70-Kalkulator!$B$29),F69,D69))</f>
        <v>12000</v>
      </c>
      <c r="I70" s="18" t="n">
        <f aca="false">(H70-H69)/12</f>
        <v>0</v>
      </c>
      <c r="J70" s="18" t="n">
        <f aca="false">E70-E69</f>
        <v>0</v>
      </c>
      <c r="K70" s="18" t="n">
        <f aca="false">D70-D69</f>
        <v>0</v>
      </c>
      <c r="L70" s="18" t="n">
        <f aca="false">(Kalkulator!$B$11-H70)/12</f>
        <v>0</v>
      </c>
    </row>
    <row r="71" customFormat="false" ht="15" hidden="false" customHeight="false" outlineLevel="0" collapsed="false">
      <c r="A71" s="18" t="n">
        <v>67</v>
      </c>
      <c r="B71" s="18" t="n">
        <f aca="false">MIN(Kalkulator!$B$26,Kalkulator!$B$19*A71)</f>
        <v>7500</v>
      </c>
      <c r="C71" s="18" t="n">
        <f aca="false">MIN(Kalkulator!$B$27,Kalkulator!$B$20*A71)</f>
        <v>4500</v>
      </c>
      <c r="D71" s="18" t="n">
        <f aca="false">MIN(Kalkulator!$B$28,Kalkulator!$B$21*A71)</f>
        <v>12000</v>
      </c>
      <c r="E71" s="18" t="n">
        <f aca="false">B71+C71</f>
        <v>12000</v>
      </c>
      <c r="F71" s="18" t="n">
        <f aca="false">IF(A71&lt;Kalkulator!$B$29,0,MIN(Kalkulator!$B$11,Kalkulator!$B$22*(A71-Kalkulator!$B$29+1),IF(Kalkulator!$B$29=1,E71,E70)))</f>
        <v>12000</v>
      </c>
      <c r="G71" s="18" t="n">
        <f aca="false">F71-F70</f>
        <v>0</v>
      </c>
      <c r="H71" s="18" t="n">
        <f aca="false">IF(A71&lt;=Kalkulator!$B$29,0,MIN(Kalkulator!$B$11,Kalkulator!$B$23*12*(A71-Kalkulator!$B$29),F70,D70))</f>
        <v>12000</v>
      </c>
      <c r="I71" s="18" t="n">
        <f aca="false">(H71-H70)/12</f>
        <v>0</v>
      </c>
      <c r="J71" s="18" t="n">
        <f aca="false">E71-E70</f>
        <v>0</v>
      </c>
      <c r="K71" s="18" t="n">
        <f aca="false">D71-D70</f>
        <v>0</v>
      </c>
      <c r="L71" s="18" t="n">
        <f aca="false">(Kalkulator!$B$11-H71)/12</f>
        <v>0</v>
      </c>
    </row>
    <row r="72" customFormat="false" ht="15" hidden="false" customHeight="false" outlineLevel="0" collapsed="false">
      <c r="A72" s="18" t="n">
        <v>68</v>
      </c>
      <c r="B72" s="18" t="n">
        <f aca="false">MIN(Kalkulator!$B$26,Kalkulator!$B$19*A72)</f>
        <v>7500</v>
      </c>
      <c r="C72" s="18" t="n">
        <f aca="false">MIN(Kalkulator!$B$27,Kalkulator!$B$20*A72)</f>
        <v>4500</v>
      </c>
      <c r="D72" s="18" t="n">
        <f aca="false">MIN(Kalkulator!$B$28,Kalkulator!$B$21*A72)</f>
        <v>12000</v>
      </c>
      <c r="E72" s="18" t="n">
        <f aca="false">B72+C72</f>
        <v>12000</v>
      </c>
      <c r="F72" s="18" t="n">
        <f aca="false">IF(A72&lt;Kalkulator!$B$29,0,MIN(Kalkulator!$B$11,Kalkulator!$B$22*(A72-Kalkulator!$B$29+1),IF(Kalkulator!$B$29=1,E72,E71)))</f>
        <v>12000</v>
      </c>
      <c r="G72" s="18" t="n">
        <f aca="false">F72-F71</f>
        <v>0</v>
      </c>
      <c r="H72" s="18" t="n">
        <f aca="false">IF(A72&lt;=Kalkulator!$B$29,0,MIN(Kalkulator!$B$11,Kalkulator!$B$23*12*(A72-Kalkulator!$B$29),F71,D71))</f>
        <v>12000</v>
      </c>
      <c r="I72" s="18" t="n">
        <f aca="false">(H72-H71)/12</f>
        <v>0</v>
      </c>
      <c r="J72" s="18" t="n">
        <f aca="false">E72-E71</f>
        <v>0</v>
      </c>
      <c r="K72" s="18" t="n">
        <f aca="false">D72-D71</f>
        <v>0</v>
      </c>
      <c r="L72" s="18" t="n">
        <f aca="false">(Kalkulator!$B$11-H72)/12</f>
        <v>0</v>
      </c>
    </row>
    <row r="73" customFormat="false" ht="15" hidden="false" customHeight="false" outlineLevel="0" collapsed="false">
      <c r="A73" s="18" t="n">
        <v>69</v>
      </c>
      <c r="B73" s="18" t="n">
        <f aca="false">MIN(Kalkulator!$B$26,Kalkulator!$B$19*A73)</f>
        <v>7500</v>
      </c>
      <c r="C73" s="18" t="n">
        <f aca="false">MIN(Kalkulator!$B$27,Kalkulator!$B$20*A73)</f>
        <v>4500</v>
      </c>
      <c r="D73" s="18" t="n">
        <f aca="false">MIN(Kalkulator!$B$28,Kalkulator!$B$21*A73)</f>
        <v>12000</v>
      </c>
      <c r="E73" s="18" t="n">
        <f aca="false">B73+C73</f>
        <v>12000</v>
      </c>
      <c r="F73" s="18" t="n">
        <f aca="false">IF(A73&lt;Kalkulator!$B$29,0,MIN(Kalkulator!$B$11,Kalkulator!$B$22*(A73-Kalkulator!$B$29+1),IF(Kalkulator!$B$29=1,E73,E72)))</f>
        <v>12000</v>
      </c>
      <c r="G73" s="18" t="n">
        <f aca="false">F73-F72</f>
        <v>0</v>
      </c>
      <c r="H73" s="18" t="n">
        <f aca="false">IF(A73&lt;=Kalkulator!$B$29,0,MIN(Kalkulator!$B$11,Kalkulator!$B$23*12*(A73-Kalkulator!$B$29),F72,D72))</f>
        <v>12000</v>
      </c>
      <c r="I73" s="18" t="n">
        <f aca="false">(H73-H72)/12</f>
        <v>0</v>
      </c>
      <c r="J73" s="18" t="n">
        <f aca="false">E73-E72</f>
        <v>0</v>
      </c>
      <c r="K73" s="18" t="n">
        <f aca="false">D73-D72</f>
        <v>0</v>
      </c>
      <c r="L73" s="18" t="n">
        <f aca="false">(Kalkulator!$B$11-H73)/12</f>
        <v>0</v>
      </c>
    </row>
    <row r="74" customFormat="false" ht="15" hidden="false" customHeight="false" outlineLevel="0" collapsed="false">
      <c r="A74" s="18" t="n">
        <v>70</v>
      </c>
      <c r="B74" s="18" t="n">
        <f aca="false">MIN(Kalkulator!$B$26,Kalkulator!$B$19*A74)</f>
        <v>7500</v>
      </c>
      <c r="C74" s="18" t="n">
        <f aca="false">MIN(Kalkulator!$B$27,Kalkulator!$B$20*A74)</f>
        <v>4500</v>
      </c>
      <c r="D74" s="18" t="n">
        <f aca="false">MIN(Kalkulator!$B$28,Kalkulator!$B$21*A74)</f>
        <v>12000</v>
      </c>
      <c r="E74" s="18" t="n">
        <f aca="false">B74+C74</f>
        <v>12000</v>
      </c>
      <c r="F74" s="18" t="n">
        <f aca="false">IF(A74&lt;Kalkulator!$B$29,0,MIN(Kalkulator!$B$11,Kalkulator!$B$22*(A74-Kalkulator!$B$29+1),IF(Kalkulator!$B$29=1,E74,E73)))</f>
        <v>12000</v>
      </c>
      <c r="G74" s="18" t="n">
        <f aca="false">F74-F73</f>
        <v>0</v>
      </c>
      <c r="H74" s="18" t="n">
        <f aca="false">IF(A74&lt;=Kalkulator!$B$29,0,MIN(Kalkulator!$B$11,Kalkulator!$B$23*12*(A74-Kalkulator!$B$29),F73,D73))</f>
        <v>12000</v>
      </c>
      <c r="I74" s="18" t="n">
        <f aca="false">(H74-H73)/12</f>
        <v>0</v>
      </c>
      <c r="J74" s="18" t="n">
        <f aca="false">E74-E73</f>
        <v>0</v>
      </c>
      <c r="K74" s="18" t="n">
        <f aca="false">D74-D73</f>
        <v>0</v>
      </c>
      <c r="L74" s="18" t="n">
        <f aca="false">(Kalkulator!$B$11-H74)/12</f>
        <v>0</v>
      </c>
    </row>
    <row r="75" customFormat="false" ht="15" hidden="false" customHeight="false" outlineLevel="0" collapsed="false">
      <c r="A75" s="18" t="n">
        <v>71</v>
      </c>
      <c r="B75" s="18" t="n">
        <f aca="false">MIN(Kalkulator!$B$26,Kalkulator!$B$19*A75)</f>
        <v>7500</v>
      </c>
      <c r="C75" s="18" t="n">
        <f aca="false">MIN(Kalkulator!$B$27,Kalkulator!$B$20*A75)</f>
        <v>4500</v>
      </c>
      <c r="D75" s="18" t="n">
        <f aca="false">MIN(Kalkulator!$B$28,Kalkulator!$B$21*A75)</f>
        <v>12000</v>
      </c>
      <c r="E75" s="18" t="n">
        <f aca="false">B75+C75</f>
        <v>12000</v>
      </c>
      <c r="F75" s="18" t="n">
        <f aca="false">IF(A75&lt;Kalkulator!$B$29,0,MIN(Kalkulator!$B$11,Kalkulator!$B$22*(A75-Kalkulator!$B$29+1),IF(Kalkulator!$B$29=1,E75,E74)))</f>
        <v>12000</v>
      </c>
      <c r="G75" s="18" t="n">
        <f aca="false">F75-F74</f>
        <v>0</v>
      </c>
      <c r="H75" s="18" t="n">
        <f aca="false">IF(A75&lt;=Kalkulator!$B$29,0,MIN(Kalkulator!$B$11,Kalkulator!$B$23*12*(A75-Kalkulator!$B$29),F74,D74))</f>
        <v>12000</v>
      </c>
      <c r="I75" s="18" t="n">
        <f aca="false">(H75-H74)/12</f>
        <v>0</v>
      </c>
      <c r="J75" s="18" t="n">
        <f aca="false">E75-E74</f>
        <v>0</v>
      </c>
      <c r="K75" s="18" t="n">
        <f aca="false">D75-D74</f>
        <v>0</v>
      </c>
      <c r="L75" s="18" t="n">
        <f aca="false">(Kalkulator!$B$11-H75)/12</f>
        <v>0</v>
      </c>
    </row>
    <row r="76" customFormat="false" ht="15" hidden="false" customHeight="false" outlineLevel="0" collapsed="false">
      <c r="A76" s="18" t="n">
        <v>72</v>
      </c>
      <c r="B76" s="18" t="n">
        <f aca="false">MIN(Kalkulator!$B$26,Kalkulator!$B$19*A76)</f>
        <v>7500</v>
      </c>
      <c r="C76" s="18" t="n">
        <f aca="false">MIN(Kalkulator!$B$27,Kalkulator!$B$20*A76)</f>
        <v>4500</v>
      </c>
      <c r="D76" s="18" t="n">
        <f aca="false">MIN(Kalkulator!$B$28,Kalkulator!$B$21*A76)</f>
        <v>12000</v>
      </c>
      <c r="E76" s="18" t="n">
        <f aca="false">B76+C76</f>
        <v>12000</v>
      </c>
      <c r="F76" s="18" t="n">
        <f aca="false">IF(A76&lt;Kalkulator!$B$29,0,MIN(Kalkulator!$B$11,Kalkulator!$B$22*(A76-Kalkulator!$B$29+1),IF(Kalkulator!$B$29=1,E76,E75)))</f>
        <v>12000</v>
      </c>
      <c r="G76" s="18" t="n">
        <f aca="false">F76-F75</f>
        <v>0</v>
      </c>
      <c r="H76" s="18" t="n">
        <f aca="false">IF(A76&lt;=Kalkulator!$B$29,0,MIN(Kalkulator!$B$11,Kalkulator!$B$23*12*(A76-Kalkulator!$B$29),F75,D75))</f>
        <v>12000</v>
      </c>
      <c r="I76" s="18" t="n">
        <f aca="false">(H76-H75)/12</f>
        <v>0</v>
      </c>
      <c r="J76" s="18" t="n">
        <f aca="false">E76-E75</f>
        <v>0</v>
      </c>
      <c r="K76" s="18" t="n">
        <f aca="false">D76-D75</f>
        <v>0</v>
      </c>
      <c r="L76" s="18" t="n">
        <f aca="false">(Kalkulator!$B$11-H76)/12</f>
        <v>0</v>
      </c>
    </row>
    <row r="77" customFormat="false" ht="15" hidden="false" customHeight="false" outlineLevel="0" collapsed="false">
      <c r="A77" s="18" t="n">
        <v>73</v>
      </c>
      <c r="B77" s="18" t="n">
        <f aca="false">MIN(Kalkulator!$B$26,Kalkulator!$B$19*A77)</f>
        <v>7500</v>
      </c>
      <c r="C77" s="18" t="n">
        <f aca="false">MIN(Kalkulator!$B$27,Kalkulator!$B$20*A77)</f>
        <v>4500</v>
      </c>
      <c r="D77" s="18" t="n">
        <f aca="false">MIN(Kalkulator!$B$28,Kalkulator!$B$21*A77)</f>
        <v>12000</v>
      </c>
      <c r="E77" s="18" t="n">
        <f aca="false">B77+C77</f>
        <v>12000</v>
      </c>
      <c r="F77" s="18" t="n">
        <f aca="false">IF(A77&lt;Kalkulator!$B$29,0,MIN(Kalkulator!$B$11,Kalkulator!$B$22*(A77-Kalkulator!$B$29+1),IF(Kalkulator!$B$29=1,E77,E76)))</f>
        <v>12000</v>
      </c>
      <c r="G77" s="18" t="n">
        <f aca="false">F77-F76</f>
        <v>0</v>
      </c>
      <c r="H77" s="18" t="n">
        <f aca="false">IF(A77&lt;=Kalkulator!$B$29,0,MIN(Kalkulator!$B$11,Kalkulator!$B$23*12*(A77-Kalkulator!$B$29),F76,D76))</f>
        <v>12000</v>
      </c>
      <c r="I77" s="18" t="n">
        <f aca="false">(H77-H76)/12</f>
        <v>0</v>
      </c>
      <c r="J77" s="18" t="n">
        <f aca="false">E77-E76</f>
        <v>0</v>
      </c>
      <c r="K77" s="18" t="n">
        <f aca="false">D77-D76</f>
        <v>0</v>
      </c>
      <c r="L77" s="18" t="n">
        <f aca="false">(Kalkulator!$B$11-H77)/12</f>
        <v>0</v>
      </c>
    </row>
    <row r="78" customFormat="false" ht="15" hidden="false" customHeight="false" outlineLevel="0" collapsed="false">
      <c r="A78" s="18" t="n">
        <v>74</v>
      </c>
      <c r="B78" s="18" t="n">
        <f aca="false">MIN(Kalkulator!$B$26,Kalkulator!$B$19*A78)</f>
        <v>7500</v>
      </c>
      <c r="C78" s="18" t="n">
        <f aca="false">MIN(Kalkulator!$B$27,Kalkulator!$B$20*A78)</f>
        <v>4500</v>
      </c>
      <c r="D78" s="18" t="n">
        <f aca="false">MIN(Kalkulator!$B$28,Kalkulator!$B$21*A78)</f>
        <v>12000</v>
      </c>
      <c r="E78" s="18" t="n">
        <f aca="false">B78+C78</f>
        <v>12000</v>
      </c>
      <c r="F78" s="18" t="n">
        <f aca="false">IF(A78&lt;Kalkulator!$B$29,0,MIN(Kalkulator!$B$11,Kalkulator!$B$22*(A78-Kalkulator!$B$29+1),IF(Kalkulator!$B$29=1,E78,E77)))</f>
        <v>12000</v>
      </c>
      <c r="G78" s="18" t="n">
        <f aca="false">F78-F77</f>
        <v>0</v>
      </c>
      <c r="H78" s="18" t="n">
        <f aca="false">IF(A78&lt;=Kalkulator!$B$29,0,MIN(Kalkulator!$B$11,Kalkulator!$B$23*12*(A78-Kalkulator!$B$29),F77,D77))</f>
        <v>12000</v>
      </c>
      <c r="I78" s="18" t="n">
        <f aca="false">(H78-H77)/12</f>
        <v>0</v>
      </c>
      <c r="J78" s="18" t="n">
        <f aca="false">E78-E77</f>
        <v>0</v>
      </c>
      <c r="K78" s="18" t="n">
        <f aca="false">D78-D77</f>
        <v>0</v>
      </c>
      <c r="L78" s="18" t="n">
        <f aca="false">(Kalkulator!$B$11-H78)/12</f>
        <v>0</v>
      </c>
    </row>
    <row r="79" customFormat="false" ht="15" hidden="false" customHeight="false" outlineLevel="0" collapsed="false">
      <c r="A79" s="18" t="n">
        <v>75</v>
      </c>
      <c r="B79" s="18" t="n">
        <f aca="false">MIN(Kalkulator!$B$26,Kalkulator!$B$19*A79)</f>
        <v>7500</v>
      </c>
      <c r="C79" s="18" t="n">
        <f aca="false">MIN(Kalkulator!$B$27,Kalkulator!$B$20*A79)</f>
        <v>4500</v>
      </c>
      <c r="D79" s="18" t="n">
        <f aca="false">MIN(Kalkulator!$B$28,Kalkulator!$B$21*A79)</f>
        <v>12000</v>
      </c>
      <c r="E79" s="18" t="n">
        <f aca="false">B79+C79</f>
        <v>12000</v>
      </c>
      <c r="F79" s="18" t="n">
        <f aca="false">IF(A79&lt;Kalkulator!$B$29,0,MIN(Kalkulator!$B$11,Kalkulator!$B$22*(A79-Kalkulator!$B$29+1),IF(Kalkulator!$B$29=1,E79,E78)))</f>
        <v>12000</v>
      </c>
      <c r="G79" s="18" t="n">
        <f aca="false">F79-F78</f>
        <v>0</v>
      </c>
      <c r="H79" s="18" t="n">
        <f aca="false">IF(A79&lt;=Kalkulator!$B$29,0,MIN(Kalkulator!$B$11,Kalkulator!$B$23*12*(A79-Kalkulator!$B$29),F78,D78))</f>
        <v>12000</v>
      </c>
      <c r="I79" s="18" t="n">
        <f aca="false">(H79-H78)/12</f>
        <v>0</v>
      </c>
      <c r="J79" s="18" t="n">
        <f aca="false">E79-E78</f>
        <v>0</v>
      </c>
      <c r="K79" s="18" t="n">
        <f aca="false">D79-D78</f>
        <v>0</v>
      </c>
      <c r="L79" s="18" t="n">
        <f aca="false">(Kalkulator!$B$11-H79)/12</f>
        <v>0</v>
      </c>
    </row>
    <row r="80" customFormat="false" ht="15" hidden="false" customHeight="false" outlineLevel="0" collapsed="false">
      <c r="A80" s="18" t="n">
        <v>76</v>
      </c>
      <c r="B80" s="18" t="n">
        <f aca="false">MIN(Kalkulator!$B$26,Kalkulator!$B$19*A80)</f>
        <v>7500</v>
      </c>
      <c r="C80" s="18" t="n">
        <f aca="false">MIN(Kalkulator!$B$27,Kalkulator!$B$20*A80)</f>
        <v>4500</v>
      </c>
      <c r="D80" s="18" t="n">
        <f aca="false">MIN(Kalkulator!$B$28,Kalkulator!$B$21*A80)</f>
        <v>12000</v>
      </c>
      <c r="E80" s="18" t="n">
        <f aca="false">B80+C80</f>
        <v>12000</v>
      </c>
      <c r="F80" s="18" t="n">
        <f aca="false">IF(A80&lt;Kalkulator!$B$29,0,MIN(Kalkulator!$B$11,Kalkulator!$B$22*(A80-Kalkulator!$B$29+1),IF(Kalkulator!$B$29=1,E80,E79)))</f>
        <v>12000</v>
      </c>
      <c r="G80" s="18" t="n">
        <f aca="false">F80-F79</f>
        <v>0</v>
      </c>
      <c r="H80" s="18" t="n">
        <f aca="false">IF(A80&lt;=Kalkulator!$B$29,0,MIN(Kalkulator!$B$11,Kalkulator!$B$23*12*(A80-Kalkulator!$B$29),F79,D79))</f>
        <v>12000</v>
      </c>
      <c r="I80" s="18" t="n">
        <f aca="false">(H80-H79)/12</f>
        <v>0</v>
      </c>
      <c r="J80" s="18" t="n">
        <f aca="false">E80-E79</f>
        <v>0</v>
      </c>
      <c r="K80" s="18" t="n">
        <f aca="false">D80-D79</f>
        <v>0</v>
      </c>
      <c r="L80" s="18" t="n">
        <f aca="false">(Kalkulator!$B$11-H80)/12</f>
        <v>0</v>
      </c>
    </row>
    <row r="81" customFormat="false" ht="15" hidden="false" customHeight="false" outlineLevel="0" collapsed="false">
      <c r="A81" s="18" t="n">
        <v>77</v>
      </c>
      <c r="B81" s="18" t="n">
        <f aca="false">MIN(Kalkulator!$B$26,Kalkulator!$B$19*A81)</f>
        <v>7500</v>
      </c>
      <c r="C81" s="18" t="n">
        <f aca="false">MIN(Kalkulator!$B$27,Kalkulator!$B$20*A81)</f>
        <v>4500</v>
      </c>
      <c r="D81" s="18" t="n">
        <f aca="false">MIN(Kalkulator!$B$28,Kalkulator!$B$21*A81)</f>
        <v>12000</v>
      </c>
      <c r="E81" s="18" t="n">
        <f aca="false">B81+C81</f>
        <v>12000</v>
      </c>
      <c r="F81" s="18" t="n">
        <f aca="false">IF(A81&lt;Kalkulator!$B$29,0,MIN(Kalkulator!$B$11,Kalkulator!$B$22*(A81-Kalkulator!$B$29+1),IF(Kalkulator!$B$29=1,E81,E80)))</f>
        <v>12000</v>
      </c>
      <c r="G81" s="18" t="n">
        <f aca="false">F81-F80</f>
        <v>0</v>
      </c>
      <c r="H81" s="18" t="n">
        <f aca="false">IF(A81&lt;=Kalkulator!$B$29,0,MIN(Kalkulator!$B$11,Kalkulator!$B$23*12*(A81-Kalkulator!$B$29),F80,D80))</f>
        <v>12000</v>
      </c>
      <c r="I81" s="18" t="n">
        <f aca="false">(H81-H80)/12</f>
        <v>0</v>
      </c>
      <c r="J81" s="18" t="n">
        <f aca="false">E81-E80</f>
        <v>0</v>
      </c>
      <c r="K81" s="18" t="n">
        <f aca="false">D81-D80</f>
        <v>0</v>
      </c>
      <c r="L81" s="18" t="n">
        <f aca="false">(Kalkulator!$B$11-H81)/12</f>
        <v>0</v>
      </c>
    </row>
    <row r="82" customFormat="false" ht="15" hidden="false" customHeight="false" outlineLevel="0" collapsed="false">
      <c r="A82" s="18" t="n">
        <v>78</v>
      </c>
      <c r="B82" s="18" t="n">
        <f aca="false">MIN(Kalkulator!$B$26,Kalkulator!$B$19*A82)</f>
        <v>7500</v>
      </c>
      <c r="C82" s="18" t="n">
        <f aca="false">MIN(Kalkulator!$B$27,Kalkulator!$B$20*A82)</f>
        <v>4500</v>
      </c>
      <c r="D82" s="18" t="n">
        <f aca="false">MIN(Kalkulator!$B$28,Kalkulator!$B$21*A82)</f>
        <v>12000</v>
      </c>
      <c r="E82" s="18" t="n">
        <f aca="false">B82+C82</f>
        <v>12000</v>
      </c>
      <c r="F82" s="18" t="n">
        <f aca="false">IF(A82&lt;Kalkulator!$B$29,0,MIN(Kalkulator!$B$11,Kalkulator!$B$22*(A82-Kalkulator!$B$29+1),IF(Kalkulator!$B$29=1,E82,E81)))</f>
        <v>12000</v>
      </c>
      <c r="G82" s="18" t="n">
        <f aca="false">F82-F81</f>
        <v>0</v>
      </c>
      <c r="H82" s="18" t="n">
        <f aca="false">IF(A82&lt;=Kalkulator!$B$29,0,MIN(Kalkulator!$B$11,Kalkulator!$B$23*12*(A82-Kalkulator!$B$29),F81,D81))</f>
        <v>12000</v>
      </c>
      <c r="I82" s="18" t="n">
        <f aca="false">(H82-H81)/12</f>
        <v>0</v>
      </c>
      <c r="J82" s="18" t="n">
        <f aca="false">E82-E81</f>
        <v>0</v>
      </c>
      <c r="K82" s="18" t="n">
        <f aca="false">D82-D81</f>
        <v>0</v>
      </c>
      <c r="L82" s="18" t="n">
        <f aca="false">(Kalkulator!$B$11-H82)/12</f>
        <v>0</v>
      </c>
    </row>
    <row r="83" customFormat="false" ht="15" hidden="false" customHeight="false" outlineLevel="0" collapsed="false">
      <c r="A83" s="18" t="n">
        <v>79</v>
      </c>
      <c r="B83" s="18" t="n">
        <f aca="false">MIN(Kalkulator!$B$26,Kalkulator!$B$19*A83)</f>
        <v>7500</v>
      </c>
      <c r="C83" s="18" t="n">
        <f aca="false">MIN(Kalkulator!$B$27,Kalkulator!$B$20*A83)</f>
        <v>4500</v>
      </c>
      <c r="D83" s="18" t="n">
        <f aca="false">MIN(Kalkulator!$B$28,Kalkulator!$B$21*A83)</f>
        <v>12000</v>
      </c>
      <c r="E83" s="18" t="n">
        <f aca="false">B83+C83</f>
        <v>12000</v>
      </c>
      <c r="F83" s="18" t="n">
        <f aca="false">IF(A83&lt;Kalkulator!$B$29,0,MIN(Kalkulator!$B$11,Kalkulator!$B$22*(A83-Kalkulator!$B$29+1),IF(Kalkulator!$B$29=1,E83,E82)))</f>
        <v>12000</v>
      </c>
      <c r="G83" s="18" t="n">
        <f aca="false">F83-F82</f>
        <v>0</v>
      </c>
      <c r="H83" s="18" t="n">
        <f aca="false">IF(A83&lt;=Kalkulator!$B$29,0,MIN(Kalkulator!$B$11,Kalkulator!$B$23*12*(A83-Kalkulator!$B$29),F82,D82))</f>
        <v>12000</v>
      </c>
      <c r="I83" s="18" t="n">
        <f aca="false">(H83-H82)/12</f>
        <v>0</v>
      </c>
      <c r="J83" s="18" t="n">
        <f aca="false">E83-E82</f>
        <v>0</v>
      </c>
      <c r="K83" s="18" t="n">
        <f aca="false">D83-D82</f>
        <v>0</v>
      </c>
      <c r="L83" s="18" t="n">
        <f aca="false">(Kalkulator!$B$11-H83)/12</f>
        <v>0</v>
      </c>
    </row>
    <row r="84" customFormat="false" ht="15" hidden="false" customHeight="false" outlineLevel="0" collapsed="false">
      <c r="A84" s="18" t="n">
        <v>80</v>
      </c>
      <c r="B84" s="18" t="n">
        <f aca="false">MIN(Kalkulator!$B$26,Kalkulator!$B$19*A84)</f>
        <v>7500</v>
      </c>
      <c r="C84" s="18" t="n">
        <f aca="false">MIN(Kalkulator!$B$27,Kalkulator!$B$20*A84)</f>
        <v>4500</v>
      </c>
      <c r="D84" s="18" t="n">
        <f aca="false">MIN(Kalkulator!$B$28,Kalkulator!$B$21*A84)</f>
        <v>12000</v>
      </c>
      <c r="E84" s="18" t="n">
        <f aca="false">B84+C84</f>
        <v>12000</v>
      </c>
      <c r="F84" s="18" t="n">
        <f aca="false">IF(A84&lt;Kalkulator!$B$29,0,MIN(Kalkulator!$B$11,Kalkulator!$B$22*(A84-Kalkulator!$B$29+1),IF(Kalkulator!$B$29=1,E84,E83)))</f>
        <v>12000</v>
      </c>
      <c r="G84" s="18" t="n">
        <f aca="false">F84-F83</f>
        <v>0</v>
      </c>
      <c r="H84" s="18" t="n">
        <f aca="false">IF(A84&lt;=Kalkulator!$B$29,0,MIN(Kalkulator!$B$11,Kalkulator!$B$23*12*(A84-Kalkulator!$B$29),F83,D83))</f>
        <v>12000</v>
      </c>
      <c r="I84" s="18" t="n">
        <f aca="false">(H84-H83)/12</f>
        <v>0</v>
      </c>
      <c r="J84" s="18" t="n">
        <f aca="false">E84-E83</f>
        <v>0</v>
      </c>
      <c r="K84" s="18" t="n">
        <f aca="false">D84-D83</f>
        <v>0</v>
      </c>
      <c r="L84" s="18" t="n">
        <f aca="false">(Kalkulator!$B$11-H84)/12</f>
        <v>0</v>
      </c>
    </row>
    <row r="85" customFormat="false" ht="15" hidden="false" customHeight="false" outlineLevel="0" collapsed="false">
      <c r="A85" s="18" t="n">
        <v>81</v>
      </c>
      <c r="B85" s="18" t="n">
        <f aca="false">MIN(Kalkulator!$B$26,Kalkulator!$B$19*A85)</f>
        <v>7500</v>
      </c>
      <c r="C85" s="18" t="n">
        <f aca="false">MIN(Kalkulator!$B$27,Kalkulator!$B$20*A85)</f>
        <v>4500</v>
      </c>
      <c r="D85" s="18" t="n">
        <f aca="false">MIN(Kalkulator!$B$28,Kalkulator!$B$21*A85)</f>
        <v>12000</v>
      </c>
      <c r="E85" s="18" t="n">
        <f aca="false">B85+C85</f>
        <v>12000</v>
      </c>
      <c r="F85" s="18" t="n">
        <f aca="false">IF(A85&lt;Kalkulator!$B$29,0,MIN(Kalkulator!$B$11,Kalkulator!$B$22*(A85-Kalkulator!$B$29+1),IF(Kalkulator!$B$29=1,E85,E84)))</f>
        <v>12000</v>
      </c>
      <c r="G85" s="18" t="n">
        <f aca="false">F85-F84</f>
        <v>0</v>
      </c>
      <c r="H85" s="18" t="n">
        <f aca="false">IF(A85&lt;=Kalkulator!$B$29,0,MIN(Kalkulator!$B$11,Kalkulator!$B$23*12*(A85-Kalkulator!$B$29),F84,D84))</f>
        <v>12000</v>
      </c>
      <c r="I85" s="18" t="n">
        <f aca="false">(H85-H84)/12</f>
        <v>0</v>
      </c>
      <c r="J85" s="18" t="n">
        <f aca="false">E85-E84</f>
        <v>0</v>
      </c>
      <c r="K85" s="18" t="n">
        <f aca="false">D85-D84</f>
        <v>0</v>
      </c>
      <c r="L85" s="18" t="n">
        <f aca="false">(Kalkulator!$B$11-H85)/12</f>
        <v>0</v>
      </c>
    </row>
    <row r="86" customFormat="false" ht="15" hidden="false" customHeight="false" outlineLevel="0" collapsed="false">
      <c r="A86" s="18" t="n">
        <v>82</v>
      </c>
      <c r="B86" s="18" t="n">
        <f aca="false">MIN(Kalkulator!$B$26,Kalkulator!$B$19*A86)</f>
        <v>7500</v>
      </c>
      <c r="C86" s="18" t="n">
        <f aca="false">MIN(Kalkulator!$B$27,Kalkulator!$B$20*A86)</f>
        <v>4500</v>
      </c>
      <c r="D86" s="18" t="n">
        <f aca="false">MIN(Kalkulator!$B$28,Kalkulator!$B$21*A86)</f>
        <v>12000</v>
      </c>
      <c r="E86" s="18" t="n">
        <f aca="false">B86+C86</f>
        <v>12000</v>
      </c>
      <c r="F86" s="18" t="n">
        <f aca="false">IF(A86&lt;Kalkulator!$B$29,0,MIN(Kalkulator!$B$11,Kalkulator!$B$22*(A86-Kalkulator!$B$29+1),IF(Kalkulator!$B$29=1,E86,E85)))</f>
        <v>12000</v>
      </c>
      <c r="G86" s="18" t="n">
        <f aca="false">F86-F85</f>
        <v>0</v>
      </c>
      <c r="H86" s="18" t="n">
        <f aca="false">IF(A86&lt;=Kalkulator!$B$29,0,MIN(Kalkulator!$B$11,Kalkulator!$B$23*12*(A86-Kalkulator!$B$29),F85,D85))</f>
        <v>12000</v>
      </c>
      <c r="I86" s="18" t="n">
        <f aca="false">(H86-H85)/12</f>
        <v>0</v>
      </c>
      <c r="J86" s="18" t="n">
        <f aca="false">E86-E85</f>
        <v>0</v>
      </c>
      <c r="K86" s="18" t="n">
        <f aca="false">D86-D85</f>
        <v>0</v>
      </c>
      <c r="L86" s="18" t="n">
        <f aca="false">(Kalkulator!$B$11-H86)/12</f>
        <v>0</v>
      </c>
    </row>
    <row r="87" customFormat="false" ht="15" hidden="false" customHeight="false" outlineLevel="0" collapsed="false">
      <c r="A87" s="18" t="n">
        <v>83</v>
      </c>
      <c r="B87" s="18" t="n">
        <f aca="false">MIN(Kalkulator!$B$26,Kalkulator!$B$19*A87)</f>
        <v>7500</v>
      </c>
      <c r="C87" s="18" t="n">
        <f aca="false">MIN(Kalkulator!$B$27,Kalkulator!$B$20*A87)</f>
        <v>4500</v>
      </c>
      <c r="D87" s="18" t="n">
        <f aca="false">MIN(Kalkulator!$B$28,Kalkulator!$B$21*A87)</f>
        <v>12000</v>
      </c>
      <c r="E87" s="18" t="n">
        <f aca="false">B87+C87</f>
        <v>12000</v>
      </c>
      <c r="F87" s="18" t="n">
        <f aca="false">IF(A87&lt;Kalkulator!$B$29,0,MIN(Kalkulator!$B$11,Kalkulator!$B$22*(A87-Kalkulator!$B$29+1),IF(Kalkulator!$B$29=1,E87,E86)))</f>
        <v>12000</v>
      </c>
      <c r="G87" s="18" t="n">
        <f aca="false">F87-F86</f>
        <v>0</v>
      </c>
      <c r="H87" s="18" t="n">
        <f aca="false">IF(A87&lt;=Kalkulator!$B$29,0,MIN(Kalkulator!$B$11,Kalkulator!$B$23*12*(A87-Kalkulator!$B$29),F86,D86))</f>
        <v>12000</v>
      </c>
      <c r="I87" s="18" t="n">
        <f aca="false">(H87-H86)/12</f>
        <v>0</v>
      </c>
      <c r="J87" s="18" t="n">
        <f aca="false">E87-E86</f>
        <v>0</v>
      </c>
      <c r="K87" s="18" t="n">
        <f aca="false">D87-D86</f>
        <v>0</v>
      </c>
      <c r="L87" s="18" t="n">
        <f aca="false">(Kalkulator!$B$11-H87)/12</f>
        <v>0</v>
      </c>
    </row>
    <row r="88" customFormat="false" ht="15" hidden="false" customHeight="false" outlineLevel="0" collapsed="false">
      <c r="A88" s="18" t="n">
        <v>84</v>
      </c>
      <c r="B88" s="18" t="n">
        <f aca="false">MIN(Kalkulator!$B$26,Kalkulator!$B$19*A88)</f>
        <v>7500</v>
      </c>
      <c r="C88" s="18" t="n">
        <f aca="false">MIN(Kalkulator!$B$27,Kalkulator!$B$20*A88)</f>
        <v>4500</v>
      </c>
      <c r="D88" s="18" t="n">
        <f aca="false">MIN(Kalkulator!$B$28,Kalkulator!$B$21*A88)</f>
        <v>12000</v>
      </c>
      <c r="E88" s="18" t="n">
        <f aca="false">B88+C88</f>
        <v>12000</v>
      </c>
      <c r="F88" s="18" t="n">
        <f aca="false">IF(A88&lt;Kalkulator!$B$29,0,MIN(Kalkulator!$B$11,Kalkulator!$B$22*(A88-Kalkulator!$B$29+1),IF(Kalkulator!$B$29=1,E88,E87)))</f>
        <v>12000</v>
      </c>
      <c r="G88" s="18" t="n">
        <f aca="false">F88-F87</f>
        <v>0</v>
      </c>
      <c r="H88" s="18" t="n">
        <f aca="false">IF(A88&lt;=Kalkulator!$B$29,0,MIN(Kalkulator!$B$11,Kalkulator!$B$23*12*(A88-Kalkulator!$B$29),F87,D87))</f>
        <v>12000</v>
      </c>
      <c r="I88" s="18" t="n">
        <f aca="false">(H88-H87)/12</f>
        <v>0</v>
      </c>
      <c r="J88" s="18" t="n">
        <f aca="false">E88-E87</f>
        <v>0</v>
      </c>
      <c r="K88" s="18" t="n">
        <f aca="false">D88-D87</f>
        <v>0</v>
      </c>
      <c r="L88" s="18" t="n">
        <f aca="false">(Kalkulator!$B$11-H88)/12</f>
        <v>0</v>
      </c>
    </row>
    <row r="89" customFormat="false" ht="15" hidden="false" customHeight="false" outlineLevel="0" collapsed="false">
      <c r="A89" s="18" t="n">
        <v>85</v>
      </c>
      <c r="B89" s="18" t="n">
        <f aca="false">MIN(Kalkulator!$B$26,Kalkulator!$B$19*A89)</f>
        <v>7500</v>
      </c>
      <c r="C89" s="18" t="n">
        <f aca="false">MIN(Kalkulator!$B$27,Kalkulator!$B$20*A89)</f>
        <v>4500</v>
      </c>
      <c r="D89" s="18" t="n">
        <f aca="false">MIN(Kalkulator!$B$28,Kalkulator!$B$21*A89)</f>
        <v>12000</v>
      </c>
      <c r="E89" s="18" t="n">
        <f aca="false">B89+C89</f>
        <v>12000</v>
      </c>
      <c r="F89" s="18" t="n">
        <f aca="false">IF(A89&lt;Kalkulator!$B$29,0,MIN(Kalkulator!$B$11,Kalkulator!$B$22*(A89-Kalkulator!$B$29+1),IF(Kalkulator!$B$29=1,E89,E88)))</f>
        <v>12000</v>
      </c>
      <c r="G89" s="18" t="n">
        <f aca="false">F89-F88</f>
        <v>0</v>
      </c>
      <c r="H89" s="18" t="n">
        <f aca="false">IF(A89&lt;=Kalkulator!$B$29,0,MIN(Kalkulator!$B$11,Kalkulator!$B$23*12*(A89-Kalkulator!$B$29),F88,D88))</f>
        <v>12000</v>
      </c>
      <c r="I89" s="18" t="n">
        <f aca="false">(H89-H88)/12</f>
        <v>0</v>
      </c>
      <c r="J89" s="18" t="n">
        <f aca="false">E89-E88</f>
        <v>0</v>
      </c>
      <c r="K89" s="18" t="n">
        <f aca="false">D89-D88</f>
        <v>0</v>
      </c>
      <c r="L89" s="18" t="n">
        <f aca="false">(Kalkulator!$B$11-H89)/12</f>
        <v>0</v>
      </c>
    </row>
    <row r="90" customFormat="false" ht="15" hidden="false" customHeight="false" outlineLevel="0" collapsed="false">
      <c r="A90" s="18" t="n">
        <v>86</v>
      </c>
      <c r="B90" s="18" t="n">
        <f aca="false">MIN(Kalkulator!$B$26,Kalkulator!$B$19*A90)</f>
        <v>7500</v>
      </c>
      <c r="C90" s="18" t="n">
        <f aca="false">MIN(Kalkulator!$B$27,Kalkulator!$B$20*A90)</f>
        <v>4500</v>
      </c>
      <c r="D90" s="18" t="n">
        <f aca="false">MIN(Kalkulator!$B$28,Kalkulator!$B$21*A90)</f>
        <v>12000</v>
      </c>
      <c r="E90" s="18" t="n">
        <f aca="false">B90+C90</f>
        <v>12000</v>
      </c>
      <c r="F90" s="18" t="n">
        <f aca="false">IF(A90&lt;Kalkulator!$B$29,0,MIN(Kalkulator!$B$11,Kalkulator!$B$22*(A90-Kalkulator!$B$29+1),IF(Kalkulator!$B$29=1,E90,E89)))</f>
        <v>12000</v>
      </c>
      <c r="G90" s="18" t="n">
        <f aca="false">F90-F89</f>
        <v>0</v>
      </c>
      <c r="H90" s="18" t="n">
        <f aca="false">IF(A90&lt;=Kalkulator!$B$29,0,MIN(Kalkulator!$B$11,Kalkulator!$B$23*12*(A90-Kalkulator!$B$29),F89,D89))</f>
        <v>12000</v>
      </c>
      <c r="I90" s="18" t="n">
        <f aca="false">(H90-H89)/12</f>
        <v>0</v>
      </c>
      <c r="J90" s="18" t="n">
        <f aca="false">E90-E89</f>
        <v>0</v>
      </c>
      <c r="K90" s="18" t="n">
        <f aca="false">D90-D89</f>
        <v>0</v>
      </c>
      <c r="L90" s="18" t="n">
        <f aca="false">(Kalkulator!$B$11-H90)/12</f>
        <v>0</v>
      </c>
    </row>
    <row r="91" customFormat="false" ht="15" hidden="false" customHeight="false" outlineLevel="0" collapsed="false">
      <c r="A91" s="18" t="n">
        <v>87</v>
      </c>
      <c r="B91" s="18" t="n">
        <f aca="false">MIN(Kalkulator!$B$26,Kalkulator!$B$19*A91)</f>
        <v>7500</v>
      </c>
      <c r="C91" s="18" t="n">
        <f aca="false">MIN(Kalkulator!$B$27,Kalkulator!$B$20*A91)</f>
        <v>4500</v>
      </c>
      <c r="D91" s="18" t="n">
        <f aca="false">MIN(Kalkulator!$B$28,Kalkulator!$B$21*A91)</f>
        <v>12000</v>
      </c>
      <c r="E91" s="18" t="n">
        <f aca="false">B91+C91</f>
        <v>12000</v>
      </c>
      <c r="F91" s="18" t="n">
        <f aca="false">IF(A91&lt;Kalkulator!$B$29,0,MIN(Kalkulator!$B$11,Kalkulator!$B$22*(A91-Kalkulator!$B$29+1),IF(Kalkulator!$B$29=1,E91,E90)))</f>
        <v>12000</v>
      </c>
      <c r="G91" s="18" t="n">
        <f aca="false">F91-F90</f>
        <v>0</v>
      </c>
      <c r="H91" s="18" t="n">
        <f aca="false">IF(A91&lt;=Kalkulator!$B$29,0,MIN(Kalkulator!$B$11,Kalkulator!$B$23*12*(A91-Kalkulator!$B$29),F90,D90))</f>
        <v>12000</v>
      </c>
      <c r="I91" s="18" t="n">
        <f aca="false">(H91-H90)/12</f>
        <v>0</v>
      </c>
      <c r="J91" s="18" t="n">
        <f aca="false">E91-E90</f>
        <v>0</v>
      </c>
      <c r="K91" s="18" t="n">
        <f aca="false">D91-D90</f>
        <v>0</v>
      </c>
      <c r="L91" s="18" t="n">
        <f aca="false">(Kalkulator!$B$11-H91)/12</f>
        <v>0</v>
      </c>
    </row>
    <row r="92" customFormat="false" ht="15" hidden="false" customHeight="false" outlineLevel="0" collapsed="false">
      <c r="A92" s="18" t="n">
        <v>88</v>
      </c>
      <c r="B92" s="18" t="n">
        <f aca="false">MIN(Kalkulator!$B$26,Kalkulator!$B$19*A92)</f>
        <v>7500</v>
      </c>
      <c r="C92" s="18" t="n">
        <f aca="false">MIN(Kalkulator!$B$27,Kalkulator!$B$20*A92)</f>
        <v>4500</v>
      </c>
      <c r="D92" s="18" t="n">
        <f aca="false">MIN(Kalkulator!$B$28,Kalkulator!$B$21*A92)</f>
        <v>12000</v>
      </c>
      <c r="E92" s="18" t="n">
        <f aca="false">B92+C92</f>
        <v>12000</v>
      </c>
      <c r="F92" s="18" t="n">
        <f aca="false">IF(A92&lt;Kalkulator!$B$29,0,MIN(Kalkulator!$B$11,Kalkulator!$B$22*(A92-Kalkulator!$B$29+1),IF(Kalkulator!$B$29=1,E92,E91)))</f>
        <v>12000</v>
      </c>
      <c r="G92" s="18" t="n">
        <f aca="false">F92-F91</f>
        <v>0</v>
      </c>
      <c r="H92" s="18" t="n">
        <f aca="false">IF(A92&lt;=Kalkulator!$B$29,0,MIN(Kalkulator!$B$11,Kalkulator!$B$23*12*(A92-Kalkulator!$B$29),F91,D91))</f>
        <v>12000</v>
      </c>
      <c r="I92" s="18" t="n">
        <f aca="false">(H92-H91)/12</f>
        <v>0</v>
      </c>
      <c r="J92" s="18" t="n">
        <f aca="false">E92-E91</f>
        <v>0</v>
      </c>
      <c r="K92" s="18" t="n">
        <f aca="false">D92-D91</f>
        <v>0</v>
      </c>
      <c r="L92" s="18" t="n">
        <f aca="false">(Kalkulator!$B$11-H92)/12</f>
        <v>0</v>
      </c>
    </row>
    <row r="93" customFormat="false" ht="15" hidden="false" customHeight="false" outlineLevel="0" collapsed="false">
      <c r="A93" s="18" t="n">
        <v>89</v>
      </c>
      <c r="B93" s="18" t="n">
        <f aca="false">MIN(Kalkulator!$B$26,Kalkulator!$B$19*A93)</f>
        <v>7500</v>
      </c>
      <c r="C93" s="18" t="n">
        <f aca="false">MIN(Kalkulator!$B$27,Kalkulator!$B$20*A93)</f>
        <v>4500</v>
      </c>
      <c r="D93" s="18" t="n">
        <f aca="false">MIN(Kalkulator!$B$28,Kalkulator!$B$21*A93)</f>
        <v>12000</v>
      </c>
      <c r="E93" s="18" t="n">
        <f aca="false">B93+C93</f>
        <v>12000</v>
      </c>
      <c r="F93" s="18" t="n">
        <f aca="false">IF(A93&lt;Kalkulator!$B$29,0,MIN(Kalkulator!$B$11,Kalkulator!$B$22*(A93-Kalkulator!$B$29+1),IF(Kalkulator!$B$29=1,E93,E92)))</f>
        <v>12000</v>
      </c>
      <c r="G93" s="18" t="n">
        <f aca="false">F93-F92</f>
        <v>0</v>
      </c>
      <c r="H93" s="18" t="n">
        <f aca="false">IF(A93&lt;=Kalkulator!$B$29,0,MIN(Kalkulator!$B$11,Kalkulator!$B$23*12*(A93-Kalkulator!$B$29),F92,D92))</f>
        <v>12000</v>
      </c>
      <c r="I93" s="18" t="n">
        <f aca="false">(H93-H92)/12</f>
        <v>0</v>
      </c>
      <c r="J93" s="18" t="n">
        <f aca="false">E93-E92</f>
        <v>0</v>
      </c>
      <c r="K93" s="18" t="n">
        <f aca="false">D93-D92</f>
        <v>0</v>
      </c>
      <c r="L93" s="18" t="n">
        <f aca="false">(Kalkulator!$B$11-H93)/12</f>
        <v>0</v>
      </c>
    </row>
    <row r="94" customFormat="false" ht="15" hidden="false" customHeight="false" outlineLevel="0" collapsed="false">
      <c r="A94" s="18" t="n">
        <v>90</v>
      </c>
      <c r="B94" s="18" t="n">
        <f aca="false">MIN(Kalkulator!$B$26,Kalkulator!$B$19*A94)</f>
        <v>7500</v>
      </c>
      <c r="C94" s="18" t="n">
        <f aca="false">MIN(Kalkulator!$B$27,Kalkulator!$B$20*A94)</f>
        <v>4500</v>
      </c>
      <c r="D94" s="18" t="n">
        <f aca="false">MIN(Kalkulator!$B$28,Kalkulator!$B$21*A94)</f>
        <v>12000</v>
      </c>
      <c r="E94" s="18" t="n">
        <f aca="false">B94+C94</f>
        <v>12000</v>
      </c>
      <c r="F94" s="18" t="n">
        <f aca="false">IF(A94&lt;Kalkulator!$B$29,0,MIN(Kalkulator!$B$11,Kalkulator!$B$22*(A94-Kalkulator!$B$29+1),IF(Kalkulator!$B$29=1,E94,E93)))</f>
        <v>12000</v>
      </c>
      <c r="G94" s="18" t="n">
        <f aca="false">F94-F93</f>
        <v>0</v>
      </c>
      <c r="H94" s="18" t="n">
        <f aca="false">IF(A94&lt;=Kalkulator!$B$29,0,MIN(Kalkulator!$B$11,Kalkulator!$B$23*12*(A94-Kalkulator!$B$29),F93,D93))</f>
        <v>12000</v>
      </c>
      <c r="I94" s="18" t="n">
        <f aca="false">(H94-H93)/12</f>
        <v>0</v>
      </c>
      <c r="J94" s="18" t="n">
        <f aca="false">E94-E93</f>
        <v>0</v>
      </c>
      <c r="K94" s="18" t="n">
        <f aca="false">D94-D93</f>
        <v>0</v>
      </c>
      <c r="L94" s="18" t="n">
        <f aca="false">(Kalkulator!$B$11-H94)/12</f>
        <v>0</v>
      </c>
    </row>
    <row r="95" customFormat="false" ht="15" hidden="false" customHeight="false" outlineLevel="0" collapsed="false">
      <c r="A95" s="18" t="n">
        <v>91</v>
      </c>
      <c r="B95" s="18" t="n">
        <f aca="false">MIN(Kalkulator!$B$26,Kalkulator!$B$19*A95)</f>
        <v>7500</v>
      </c>
      <c r="C95" s="18" t="n">
        <f aca="false">MIN(Kalkulator!$B$27,Kalkulator!$B$20*A95)</f>
        <v>4500</v>
      </c>
      <c r="D95" s="18" t="n">
        <f aca="false">MIN(Kalkulator!$B$28,Kalkulator!$B$21*A95)</f>
        <v>12000</v>
      </c>
      <c r="E95" s="18" t="n">
        <f aca="false">B95+C95</f>
        <v>12000</v>
      </c>
      <c r="F95" s="18" t="n">
        <f aca="false">IF(A95&lt;Kalkulator!$B$29,0,MIN(Kalkulator!$B$11,Kalkulator!$B$22*(A95-Kalkulator!$B$29+1),IF(Kalkulator!$B$29=1,E95,E94)))</f>
        <v>12000</v>
      </c>
      <c r="G95" s="18" t="n">
        <f aca="false">F95-F94</f>
        <v>0</v>
      </c>
      <c r="H95" s="18" t="n">
        <f aca="false">IF(A95&lt;=Kalkulator!$B$29,0,MIN(Kalkulator!$B$11,Kalkulator!$B$23*12*(A95-Kalkulator!$B$29),F94,D94))</f>
        <v>12000</v>
      </c>
      <c r="I95" s="18" t="n">
        <f aca="false">(H95-H94)/12</f>
        <v>0</v>
      </c>
      <c r="J95" s="18" t="n">
        <f aca="false">E95-E94</f>
        <v>0</v>
      </c>
      <c r="K95" s="18" t="n">
        <f aca="false">D95-D94</f>
        <v>0</v>
      </c>
      <c r="L95" s="18" t="n">
        <f aca="false">(Kalkulator!$B$11-H95)/12</f>
        <v>0</v>
      </c>
    </row>
    <row r="96" customFormat="false" ht="15" hidden="false" customHeight="false" outlineLevel="0" collapsed="false">
      <c r="A96" s="18" t="n">
        <v>92</v>
      </c>
      <c r="B96" s="18" t="n">
        <f aca="false">MIN(Kalkulator!$B$26,Kalkulator!$B$19*A96)</f>
        <v>7500</v>
      </c>
      <c r="C96" s="18" t="n">
        <f aca="false">MIN(Kalkulator!$B$27,Kalkulator!$B$20*A96)</f>
        <v>4500</v>
      </c>
      <c r="D96" s="18" t="n">
        <f aca="false">MIN(Kalkulator!$B$28,Kalkulator!$B$21*A96)</f>
        <v>12000</v>
      </c>
      <c r="E96" s="18" t="n">
        <f aca="false">B96+C96</f>
        <v>12000</v>
      </c>
      <c r="F96" s="18" t="n">
        <f aca="false">IF(A96&lt;Kalkulator!$B$29,0,MIN(Kalkulator!$B$11,Kalkulator!$B$22*(A96-Kalkulator!$B$29+1),IF(Kalkulator!$B$29=1,E96,E95)))</f>
        <v>12000</v>
      </c>
      <c r="G96" s="18" t="n">
        <f aca="false">F96-F95</f>
        <v>0</v>
      </c>
      <c r="H96" s="18" t="n">
        <f aca="false">IF(A96&lt;=Kalkulator!$B$29,0,MIN(Kalkulator!$B$11,Kalkulator!$B$23*12*(A96-Kalkulator!$B$29),F95,D95))</f>
        <v>12000</v>
      </c>
      <c r="I96" s="18" t="n">
        <f aca="false">(H96-H95)/12</f>
        <v>0</v>
      </c>
      <c r="J96" s="18" t="n">
        <f aca="false">E96-E95</f>
        <v>0</v>
      </c>
      <c r="K96" s="18" t="n">
        <f aca="false">D96-D95</f>
        <v>0</v>
      </c>
      <c r="L96" s="18" t="n">
        <f aca="false">(Kalkulator!$B$11-H96)/12</f>
        <v>0</v>
      </c>
    </row>
    <row r="97" customFormat="false" ht="15" hidden="false" customHeight="false" outlineLevel="0" collapsed="false">
      <c r="A97" s="18" t="n">
        <v>93</v>
      </c>
      <c r="B97" s="18" t="n">
        <f aca="false">MIN(Kalkulator!$B$26,Kalkulator!$B$19*A97)</f>
        <v>7500</v>
      </c>
      <c r="C97" s="18" t="n">
        <f aca="false">MIN(Kalkulator!$B$27,Kalkulator!$B$20*A97)</f>
        <v>4500</v>
      </c>
      <c r="D97" s="18" t="n">
        <f aca="false">MIN(Kalkulator!$B$28,Kalkulator!$B$21*A97)</f>
        <v>12000</v>
      </c>
      <c r="E97" s="18" t="n">
        <f aca="false">B97+C97</f>
        <v>12000</v>
      </c>
      <c r="F97" s="18" t="n">
        <f aca="false">IF(A97&lt;Kalkulator!$B$29,0,MIN(Kalkulator!$B$11,Kalkulator!$B$22*(A97-Kalkulator!$B$29+1),IF(Kalkulator!$B$29=1,E97,E96)))</f>
        <v>12000</v>
      </c>
      <c r="G97" s="18" t="n">
        <f aca="false">F97-F96</f>
        <v>0</v>
      </c>
      <c r="H97" s="18" t="n">
        <f aca="false">IF(A97&lt;=Kalkulator!$B$29,0,MIN(Kalkulator!$B$11,Kalkulator!$B$23*12*(A97-Kalkulator!$B$29),F96,D96))</f>
        <v>12000</v>
      </c>
      <c r="I97" s="18" t="n">
        <f aca="false">(H97-H96)/12</f>
        <v>0</v>
      </c>
      <c r="J97" s="18" t="n">
        <f aca="false">E97-E96</f>
        <v>0</v>
      </c>
      <c r="K97" s="18" t="n">
        <f aca="false">D97-D96</f>
        <v>0</v>
      </c>
      <c r="L97" s="18" t="n">
        <f aca="false">(Kalkulator!$B$11-H97)/12</f>
        <v>0</v>
      </c>
    </row>
    <row r="98" customFormat="false" ht="15" hidden="false" customHeight="false" outlineLevel="0" collapsed="false">
      <c r="A98" s="18" t="n">
        <v>94</v>
      </c>
      <c r="B98" s="18" t="n">
        <f aca="false">MIN(Kalkulator!$B$26,Kalkulator!$B$19*A98)</f>
        <v>7500</v>
      </c>
      <c r="C98" s="18" t="n">
        <f aca="false">MIN(Kalkulator!$B$27,Kalkulator!$B$20*A98)</f>
        <v>4500</v>
      </c>
      <c r="D98" s="18" t="n">
        <f aca="false">MIN(Kalkulator!$B$28,Kalkulator!$B$21*A98)</f>
        <v>12000</v>
      </c>
      <c r="E98" s="18" t="n">
        <f aca="false">B98+C98</f>
        <v>12000</v>
      </c>
      <c r="F98" s="18" t="n">
        <f aca="false">IF(A98&lt;Kalkulator!$B$29,0,MIN(Kalkulator!$B$11,Kalkulator!$B$22*(A98-Kalkulator!$B$29+1),IF(Kalkulator!$B$29=1,E98,E97)))</f>
        <v>12000</v>
      </c>
      <c r="G98" s="18" t="n">
        <f aca="false">F98-F97</f>
        <v>0</v>
      </c>
      <c r="H98" s="18" t="n">
        <f aca="false">IF(A98&lt;=Kalkulator!$B$29,0,MIN(Kalkulator!$B$11,Kalkulator!$B$23*12*(A98-Kalkulator!$B$29),F97,D97))</f>
        <v>12000</v>
      </c>
      <c r="I98" s="18" t="n">
        <f aca="false">(H98-H97)/12</f>
        <v>0</v>
      </c>
      <c r="J98" s="18" t="n">
        <f aca="false">E98-E97</f>
        <v>0</v>
      </c>
      <c r="K98" s="18" t="n">
        <f aca="false">D98-D97</f>
        <v>0</v>
      </c>
      <c r="L98" s="18" t="n">
        <f aca="false">(Kalkulator!$B$11-H98)/12</f>
        <v>0</v>
      </c>
    </row>
    <row r="99" customFormat="false" ht="15" hidden="false" customHeight="false" outlineLevel="0" collapsed="false">
      <c r="A99" s="18" t="n">
        <v>95</v>
      </c>
      <c r="B99" s="18" t="n">
        <f aca="false">MIN(Kalkulator!$B$26,Kalkulator!$B$19*A99)</f>
        <v>7500</v>
      </c>
      <c r="C99" s="18" t="n">
        <f aca="false">MIN(Kalkulator!$B$27,Kalkulator!$B$20*A99)</f>
        <v>4500</v>
      </c>
      <c r="D99" s="18" t="n">
        <f aca="false">MIN(Kalkulator!$B$28,Kalkulator!$B$21*A99)</f>
        <v>12000</v>
      </c>
      <c r="E99" s="18" t="n">
        <f aca="false">B99+C99</f>
        <v>12000</v>
      </c>
      <c r="F99" s="18" t="n">
        <f aca="false">IF(A99&lt;Kalkulator!$B$29,0,MIN(Kalkulator!$B$11,Kalkulator!$B$22*(A99-Kalkulator!$B$29+1),IF(Kalkulator!$B$29=1,E99,E98)))</f>
        <v>12000</v>
      </c>
      <c r="G99" s="18" t="n">
        <f aca="false">F99-F98</f>
        <v>0</v>
      </c>
      <c r="H99" s="18" t="n">
        <f aca="false">IF(A99&lt;=Kalkulator!$B$29,0,MIN(Kalkulator!$B$11,Kalkulator!$B$23*12*(A99-Kalkulator!$B$29),F98,D98))</f>
        <v>12000</v>
      </c>
      <c r="I99" s="18" t="n">
        <f aca="false">(H99-H98)/12</f>
        <v>0</v>
      </c>
      <c r="J99" s="18" t="n">
        <f aca="false">E99-E98</f>
        <v>0</v>
      </c>
      <c r="K99" s="18" t="n">
        <f aca="false">D99-D98</f>
        <v>0</v>
      </c>
      <c r="L99" s="18" t="n">
        <f aca="false">(Kalkulator!$B$11-H99)/12</f>
        <v>0</v>
      </c>
    </row>
    <row r="100" customFormat="false" ht="15" hidden="false" customHeight="false" outlineLevel="0" collapsed="false">
      <c r="A100" s="18" t="n">
        <v>96</v>
      </c>
      <c r="B100" s="18" t="n">
        <f aca="false">MIN(Kalkulator!$B$26,Kalkulator!$B$19*A100)</f>
        <v>7500</v>
      </c>
      <c r="C100" s="18" t="n">
        <f aca="false">MIN(Kalkulator!$B$27,Kalkulator!$B$20*A100)</f>
        <v>4500</v>
      </c>
      <c r="D100" s="18" t="n">
        <f aca="false">MIN(Kalkulator!$B$28,Kalkulator!$B$21*A100)</f>
        <v>12000</v>
      </c>
      <c r="E100" s="18" t="n">
        <f aca="false">B100+C100</f>
        <v>12000</v>
      </c>
      <c r="F100" s="18" t="n">
        <f aca="false">IF(A100&lt;Kalkulator!$B$29,0,MIN(Kalkulator!$B$11,Kalkulator!$B$22*(A100-Kalkulator!$B$29+1),IF(Kalkulator!$B$29=1,E100,E99)))</f>
        <v>12000</v>
      </c>
      <c r="G100" s="18" t="n">
        <f aca="false">F100-F99</f>
        <v>0</v>
      </c>
      <c r="H100" s="18" t="n">
        <f aca="false">IF(A100&lt;=Kalkulator!$B$29,0,MIN(Kalkulator!$B$11,Kalkulator!$B$23*12*(A100-Kalkulator!$B$29),F99,D99))</f>
        <v>12000</v>
      </c>
      <c r="I100" s="18" t="n">
        <f aca="false">(H100-H99)/12</f>
        <v>0</v>
      </c>
      <c r="J100" s="18" t="n">
        <f aca="false">E100-E99</f>
        <v>0</v>
      </c>
      <c r="K100" s="18" t="n">
        <f aca="false">D100-D99</f>
        <v>0</v>
      </c>
      <c r="L100" s="18" t="n">
        <f aca="false">(Kalkulator!$B$11-H100)/12</f>
        <v>0</v>
      </c>
    </row>
    <row r="101" customFormat="false" ht="15" hidden="false" customHeight="false" outlineLevel="0" collapsed="false">
      <c r="A101" s="18" t="n">
        <v>97</v>
      </c>
      <c r="B101" s="18" t="n">
        <f aca="false">MIN(Kalkulator!$B$26,Kalkulator!$B$19*A101)</f>
        <v>7500</v>
      </c>
      <c r="C101" s="18" t="n">
        <f aca="false">MIN(Kalkulator!$B$27,Kalkulator!$B$20*A101)</f>
        <v>4500</v>
      </c>
      <c r="D101" s="18" t="n">
        <f aca="false">MIN(Kalkulator!$B$28,Kalkulator!$B$21*A101)</f>
        <v>12000</v>
      </c>
      <c r="E101" s="18" t="n">
        <f aca="false">B101+C101</f>
        <v>12000</v>
      </c>
      <c r="F101" s="18" t="n">
        <f aca="false">IF(A101&lt;Kalkulator!$B$29,0,MIN(Kalkulator!$B$11,Kalkulator!$B$22*(A101-Kalkulator!$B$29+1),IF(Kalkulator!$B$29=1,E101,E100)))</f>
        <v>12000</v>
      </c>
      <c r="G101" s="18" t="n">
        <f aca="false">F101-F100</f>
        <v>0</v>
      </c>
      <c r="H101" s="18" t="n">
        <f aca="false">IF(A101&lt;=Kalkulator!$B$29,0,MIN(Kalkulator!$B$11,Kalkulator!$B$23*12*(A101-Kalkulator!$B$29),F100,D100))</f>
        <v>12000</v>
      </c>
      <c r="I101" s="18" t="n">
        <f aca="false">(H101-H100)/12</f>
        <v>0</v>
      </c>
      <c r="J101" s="18" t="n">
        <f aca="false">E101-E100</f>
        <v>0</v>
      </c>
      <c r="K101" s="18" t="n">
        <f aca="false">D101-D100</f>
        <v>0</v>
      </c>
      <c r="L101" s="18" t="n">
        <f aca="false">(Kalkulator!$B$11-H101)/12</f>
        <v>0</v>
      </c>
    </row>
    <row r="102" customFormat="false" ht="15" hidden="false" customHeight="false" outlineLevel="0" collapsed="false">
      <c r="A102" s="18" t="n">
        <v>98</v>
      </c>
      <c r="B102" s="18" t="n">
        <f aca="false">MIN(Kalkulator!$B$26,Kalkulator!$B$19*A102)</f>
        <v>7500</v>
      </c>
      <c r="C102" s="18" t="n">
        <f aca="false">MIN(Kalkulator!$B$27,Kalkulator!$B$20*A102)</f>
        <v>4500</v>
      </c>
      <c r="D102" s="18" t="n">
        <f aca="false">MIN(Kalkulator!$B$28,Kalkulator!$B$21*A102)</f>
        <v>12000</v>
      </c>
      <c r="E102" s="18" t="n">
        <f aca="false">B102+C102</f>
        <v>12000</v>
      </c>
      <c r="F102" s="18" t="n">
        <f aca="false">IF(A102&lt;Kalkulator!$B$29,0,MIN(Kalkulator!$B$11,Kalkulator!$B$22*(A102-Kalkulator!$B$29+1),IF(Kalkulator!$B$29=1,E102,E101)))</f>
        <v>12000</v>
      </c>
      <c r="G102" s="18" t="n">
        <f aca="false">F102-F101</f>
        <v>0</v>
      </c>
      <c r="H102" s="18" t="n">
        <f aca="false">IF(A102&lt;=Kalkulator!$B$29,0,MIN(Kalkulator!$B$11,Kalkulator!$B$23*12*(A102-Kalkulator!$B$29),F101,D101))</f>
        <v>12000</v>
      </c>
      <c r="I102" s="18" t="n">
        <f aca="false">(H102-H101)/12</f>
        <v>0</v>
      </c>
      <c r="J102" s="18" t="n">
        <f aca="false">E102-E101</f>
        <v>0</v>
      </c>
      <c r="K102" s="18" t="n">
        <f aca="false">D102-D101</f>
        <v>0</v>
      </c>
      <c r="L102" s="18" t="n">
        <f aca="false">(Kalkulator!$B$11-H102)/12</f>
        <v>0</v>
      </c>
    </row>
    <row r="103" customFormat="false" ht="15" hidden="false" customHeight="false" outlineLevel="0" collapsed="false">
      <c r="A103" s="18" t="n">
        <v>99</v>
      </c>
      <c r="B103" s="18" t="n">
        <f aca="false">MIN(Kalkulator!$B$26,Kalkulator!$B$19*A103)</f>
        <v>7500</v>
      </c>
      <c r="C103" s="18" t="n">
        <f aca="false">MIN(Kalkulator!$B$27,Kalkulator!$B$20*A103)</f>
        <v>4500</v>
      </c>
      <c r="D103" s="18" t="n">
        <f aca="false">MIN(Kalkulator!$B$28,Kalkulator!$B$21*A103)</f>
        <v>12000</v>
      </c>
      <c r="E103" s="18" t="n">
        <f aca="false">B103+C103</f>
        <v>12000</v>
      </c>
      <c r="F103" s="18" t="n">
        <f aca="false">IF(A103&lt;Kalkulator!$B$29,0,MIN(Kalkulator!$B$11,Kalkulator!$B$22*(A103-Kalkulator!$B$29+1),IF(Kalkulator!$B$29=1,E103,E102)))</f>
        <v>12000</v>
      </c>
      <c r="G103" s="18" t="n">
        <f aca="false">F103-F102</f>
        <v>0</v>
      </c>
      <c r="H103" s="18" t="n">
        <f aca="false">IF(A103&lt;=Kalkulator!$B$29,0,MIN(Kalkulator!$B$11,Kalkulator!$B$23*12*(A103-Kalkulator!$B$29),F102,D102))</f>
        <v>12000</v>
      </c>
      <c r="I103" s="18" t="n">
        <f aca="false">(H103-H102)/12</f>
        <v>0</v>
      </c>
      <c r="J103" s="18" t="n">
        <f aca="false">E103-E102</f>
        <v>0</v>
      </c>
      <c r="K103" s="18" t="n">
        <f aca="false">D103-D102</f>
        <v>0</v>
      </c>
      <c r="L103" s="18" t="n">
        <f aca="false">(Kalkulator!$B$11-H103)/12</f>
        <v>0</v>
      </c>
    </row>
    <row r="104" customFormat="false" ht="15" hidden="false" customHeight="false" outlineLevel="0" collapsed="false">
      <c r="A104" s="18" t="n">
        <v>100</v>
      </c>
      <c r="B104" s="18" t="n">
        <f aca="false">MIN(Kalkulator!$B$26,Kalkulator!$B$19*A104)</f>
        <v>7500</v>
      </c>
      <c r="C104" s="18" t="n">
        <f aca="false">MIN(Kalkulator!$B$27,Kalkulator!$B$20*A104)</f>
        <v>4500</v>
      </c>
      <c r="D104" s="18" t="n">
        <f aca="false">MIN(Kalkulator!$B$28,Kalkulator!$B$21*A104)</f>
        <v>12000</v>
      </c>
      <c r="E104" s="18" t="n">
        <f aca="false">B104+C104</f>
        <v>12000</v>
      </c>
      <c r="F104" s="18" t="n">
        <f aca="false">IF(A104&lt;Kalkulator!$B$29,0,MIN(Kalkulator!$B$11,Kalkulator!$B$22*(A104-Kalkulator!$B$29+1),IF(Kalkulator!$B$29=1,E104,E103)))</f>
        <v>12000</v>
      </c>
      <c r="G104" s="18" t="n">
        <f aca="false">F104-F103</f>
        <v>0</v>
      </c>
      <c r="H104" s="18" t="n">
        <f aca="false">IF(A104&lt;=Kalkulator!$B$29,0,MIN(Kalkulator!$B$11,Kalkulator!$B$23*12*(A104-Kalkulator!$B$29),F103,D103))</f>
        <v>12000</v>
      </c>
      <c r="I104" s="18" t="n">
        <f aca="false">(H104-H103)/12</f>
        <v>0</v>
      </c>
      <c r="J104" s="18" t="n">
        <f aca="false">E104-E103</f>
        <v>0</v>
      </c>
      <c r="K104" s="18" t="n">
        <f aca="false">D104-D103</f>
        <v>0</v>
      </c>
      <c r="L104" s="18" t="n">
        <f aca="false">(Kalkulator!$B$11-H104)/12</f>
        <v>0</v>
      </c>
    </row>
    <row r="105" customFormat="false" ht="15" hidden="false" customHeight="false" outlineLevel="0" collapsed="false">
      <c r="A105" s="18" t="n">
        <v>101</v>
      </c>
      <c r="B105" s="18" t="n">
        <f aca="false">MIN(Kalkulator!$B$26,Kalkulator!$B$19*A105)</f>
        <v>7500</v>
      </c>
      <c r="C105" s="18" t="n">
        <f aca="false">MIN(Kalkulator!$B$27,Kalkulator!$B$20*A105)</f>
        <v>4500</v>
      </c>
      <c r="D105" s="18" t="n">
        <f aca="false">MIN(Kalkulator!$B$28,Kalkulator!$B$21*A105)</f>
        <v>12000</v>
      </c>
      <c r="E105" s="18" t="n">
        <f aca="false">B105+C105</f>
        <v>12000</v>
      </c>
      <c r="F105" s="18" t="n">
        <f aca="false">IF(A105&lt;Kalkulator!$B$29,0,MIN(Kalkulator!$B$11,Kalkulator!$B$22*(A105-Kalkulator!$B$29+1),IF(Kalkulator!$B$29=1,E105,E104)))</f>
        <v>12000</v>
      </c>
      <c r="G105" s="18" t="n">
        <f aca="false">F105-F104</f>
        <v>0</v>
      </c>
      <c r="H105" s="18" t="n">
        <f aca="false">IF(A105&lt;=Kalkulator!$B$29,0,MIN(Kalkulator!$B$11,Kalkulator!$B$23*12*(A105-Kalkulator!$B$29),F104,D104))</f>
        <v>12000</v>
      </c>
      <c r="I105" s="18" t="n">
        <f aca="false">(H105-H104)/12</f>
        <v>0</v>
      </c>
      <c r="J105" s="18" t="n">
        <f aca="false">E105-E104</f>
        <v>0</v>
      </c>
      <c r="K105" s="18" t="n">
        <f aca="false">D105-D104</f>
        <v>0</v>
      </c>
      <c r="L105" s="18" t="n">
        <f aca="false">(Kalkulator!$B$11-H105)/12</f>
        <v>0</v>
      </c>
    </row>
    <row r="106" customFormat="false" ht="15" hidden="false" customHeight="false" outlineLevel="0" collapsed="false">
      <c r="A106" s="18" t="n">
        <v>102</v>
      </c>
      <c r="B106" s="18" t="n">
        <f aca="false">MIN(Kalkulator!$B$26,Kalkulator!$B$19*A106)</f>
        <v>7500</v>
      </c>
      <c r="C106" s="18" t="n">
        <f aca="false">MIN(Kalkulator!$B$27,Kalkulator!$B$20*A106)</f>
        <v>4500</v>
      </c>
      <c r="D106" s="18" t="n">
        <f aca="false">MIN(Kalkulator!$B$28,Kalkulator!$B$21*A106)</f>
        <v>12000</v>
      </c>
      <c r="E106" s="18" t="n">
        <f aca="false">B106+C106</f>
        <v>12000</v>
      </c>
      <c r="F106" s="18" t="n">
        <f aca="false">IF(A106&lt;Kalkulator!$B$29,0,MIN(Kalkulator!$B$11,Kalkulator!$B$22*(A106-Kalkulator!$B$29+1),IF(Kalkulator!$B$29=1,E106,E105)))</f>
        <v>12000</v>
      </c>
      <c r="G106" s="18" t="n">
        <f aca="false">F106-F105</f>
        <v>0</v>
      </c>
      <c r="H106" s="18" t="n">
        <f aca="false">IF(A106&lt;=Kalkulator!$B$29,0,MIN(Kalkulator!$B$11,Kalkulator!$B$23*12*(A106-Kalkulator!$B$29),F105,D105))</f>
        <v>12000</v>
      </c>
      <c r="I106" s="18" t="n">
        <f aca="false">(H106-H105)/12</f>
        <v>0</v>
      </c>
      <c r="J106" s="18" t="n">
        <f aca="false">E106-E105</f>
        <v>0</v>
      </c>
      <c r="K106" s="18" t="n">
        <f aca="false">D106-D105</f>
        <v>0</v>
      </c>
      <c r="L106" s="18" t="n">
        <f aca="false">(Kalkulator!$B$11-H106)/12</f>
        <v>0</v>
      </c>
    </row>
    <row r="107" customFormat="false" ht="15" hidden="false" customHeight="false" outlineLevel="0" collapsed="false">
      <c r="A107" s="18" t="n">
        <v>103</v>
      </c>
      <c r="B107" s="18" t="n">
        <f aca="false">MIN(Kalkulator!$B$26,Kalkulator!$B$19*A107)</f>
        <v>7500</v>
      </c>
      <c r="C107" s="18" t="n">
        <f aca="false">MIN(Kalkulator!$B$27,Kalkulator!$B$20*A107)</f>
        <v>4500</v>
      </c>
      <c r="D107" s="18" t="n">
        <f aca="false">MIN(Kalkulator!$B$28,Kalkulator!$B$21*A107)</f>
        <v>12000</v>
      </c>
      <c r="E107" s="18" t="n">
        <f aca="false">B107+C107</f>
        <v>12000</v>
      </c>
      <c r="F107" s="18" t="n">
        <f aca="false">IF(A107&lt;Kalkulator!$B$29,0,MIN(Kalkulator!$B$11,Kalkulator!$B$22*(A107-Kalkulator!$B$29+1),IF(Kalkulator!$B$29=1,E107,E106)))</f>
        <v>12000</v>
      </c>
      <c r="G107" s="18" t="n">
        <f aca="false">F107-F106</f>
        <v>0</v>
      </c>
      <c r="H107" s="18" t="n">
        <f aca="false">IF(A107&lt;=Kalkulator!$B$29,0,MIN(Kalkulator!$B$11,Kalkulator!$B$23*12*(A107-Kalkulator!$B$29),F106,D106))</f>
        <v>12000</v>
      </c>
      <c r="I107" s="18" t="n">
        <f aca="false">(H107-H106)/12</f>
        <v>0</v>
      </c>
      <c r="J107" s="18" t="n">
        <f aca="false">E107-E106</f>
        <v>0</v>
      </c>
      <c r="K107" s="18" t="n">
        <f aca="false">D107-D106</f>
        <v>0</v>
      </c>
      <c r="L107" s="18" t="n">
        <f aca="false">(Kalkulator!$B$11-H107)/12</f>
        <v>0</v>
      </c>
    </row>
    <row r="108" customFormat="false" ht="15" hidden="false" customHeight="false" outlineLevel="0" collapsed="false">
      <c r="A108" s="18" t="n">
        <v>104</v>
      </c>
      <c r="B108" s="18" t="n">
        <f aca="false">MIN(Kalkulator!$B$26,Kalkulator!$B$19*A108)</f>
        <v>7500</v>
      </c>
      <c r="C108" s="18" t="n">
        <f aca="false">MIN(Kalkulator!$B$27,Kalkulator!$B$20*A108)</f>
        <v>4500</v>
      </c>
      <c r="D108" s="18" t="n">
        <f aca="false">MIN(Kalkulator!$B$28,Kalkulator!$B$21*A108)</f>
        <v>12000</v>
      </c>
      <c r="E108" s="18" t="n">
        <f aca="false">B108+C108</f>
        <v>12000</v>
      </c>
      <c r="F108" s="18" t="n">
        <f aca="false">IF(A108&lt;Kalkulator!$B$29,0,MIN(Kalkulator!$B$11,Kalkulator!$B$22*(A108-Kalkulator!$B$29+1),IF(Kalkulator!$B$29=1,E108,E107)))</f>
        <v>12000</v>
      </c>
      <c r="G108" s="18" t="n">
        <f aca="false">F108-F107</f>
        <v>0</v>
      </c>
      <c r="H108" s="18" t="n">
        <f aca="false">IF(A108&lt;=Kalkulator!$B$29,0,MIN(Kalkulator!$B$11,Kalkulator!$B$23*12*(A108-Kalkulator!$B$29),F107,D107))</f>
        <v>12000</v>
      </c>
      <c r="I108" s="18" t="n">
        <f aca="false">(H108-H107)/12</f>
        <v>0</v>
      </c>
      <c r="J108" s="18" t="n">
        <f aca="false">E108-E107</f>
        <v>0</v>
      </c>
      <c r="K108" s="18" t="n">
        <f aca="false">D108-D107</f>
        <v>0</v>
      </c>
      <c r="L108" s="18" t="n">
        <f aca="false">(Kalkulator!$B$11-H108)/12</f>
        <v>0</v>
      </c>
    </row>
    <row r="109" customFormat="false" ht="15" hidden="false" customHeight="false" outlineLevel="0" collapsed="false">
      <c r="A109" s="18" t="n">
        <v>105</v>
      </c>
      <c r="B109" s="18" t="n">
        <f aca="false">MIN(Kalkulator!$B$26,Kalkulator!$B$19*A109)</f>
        <v>7500</v>
      </c>
      <c r="C109" s="18" t="n">
        <f aca="false">MIN(Kalkulator!$B$27,Kalkulator!$B$20*A109)</f>
        <v>4500</v>
      </c>
      <c r="D109" s="18" t="n">
        <f aca="false">MIN(Kalkulator!$B$28,Kalkulator!$B$21*A109)</f>
        <v>12000</v>
      </c>
      <c r="E109" s="18" t="n">
        <f aca="false">B109+C109</f>
        <v>12000</v>
      </c>
      <c r="F109" s="18" t="n">
        <f aca="false">IF(A109&lt;Kalkulator!$B$29,0,MIN(Kalkulator!$B$11,Kalkulator!$B$22*(A109-Kalkulator!$B$29+1),IF(Kalkulator!$B$29=1,E109,E108)))</f>
        <v>12000</v>
      </c>
      <c r="G109" s="18" t="n">
        <f aca="false">F109-F108</f>
        <v>0</v>
      </c>
      <c r="H109" s="18" t="n">
        <f aca="false">IF(A109&lt;=Kalkulator!$B$29,0,MIN(Kalkulator!$B$11,Kalkulator!$B$23*12*(A109-Kalkulator!$B$29),F108,D108))</f>
        <v>12000</v>
      </c>
      <c r="I109" s="18" t="n">
        <f aca="false">(H109-H108)/12</f>
        <v>0</v>
      </c>
      <c r="J109" s="18" t="n">
        <f aca="false">E109-E108</f>
        <v>0</v>
      </c>
      <c r="K109" s="18" t="n">
        <f aca="false">D109-D108</f>
        <v>0</v>
      </c>
      <c r="L109" s="18" t="n">
        <f aca="false">(Kalkulator!$B$11-H109)/12</f>
        <v>0</v>
      </c>
    </row>
    <row r="110" customFormat="false" ht="15" hidden="false" customHeight="false" outlineLevel="0" collapsed="false">
      <c r="A110" s="18" t="n">
        <v>106</v>
      </c>
      <c r="B110" s="18" t="n">
        <f aca="false">MIN(Kalkulator!$B$26,Kalkulator!$B$19*A110)</f>
        <v>7500</v>
      </c>
      <c r="C110" s="18" t="n">
        <f aca="false">MIN(Kalkulator!$B$27,Kalkulator!$B$20*A110)</f>
        <v>4500</v>
      </c>
      <c r="D110" s="18" t="n">
        <f aca="false">MIN(Kalkulator!$B$28,Kalkulator!$B$21*A110)</f>
        <v>12000</v>
      </c>
      <c r="E110" s="18" t="n">
        <f aca="false">B110+C110</f>
        <v>12000</v>
      </c>
      <c r="F110" s="18" t="n">
        <f aca="false">IF(A110&lt;Kalkulator!$B$29,0,MIN(Kalkulator!$B$11,Kalkulator!$B$22*(A110-Kalkulator!$B$29+1),IF(Kalkulator!$B$29=1,E110,E109)))</f>
        <v>12000</v>
      </c>
      <c r="G110" s="18" t="n">
        <f aca="false">F110-F109</f>
        <v>0</v>
      </c>
      <c r="H110" s="18" t="n">
        <f aca="false">IF(A110&lt;=Kalkulator!$B$29,0,MIN(Kalkulator!$B$11,Kalkulator!$B$23*12*(A110-Kalkulator!$B$29),F109,D109))</f>
        <v>12000</v>
      </c>
      <c r="I110" s="18" t="n">
        <f aca="false">(H110-H109)/12</f>
        <v>0</v>
      </c>
      <c r="J110" s="18" t="n">
        <f aca="false">E110-E109</f>
        <v>0</v>
      </c>
      <c r="K110" s="18" t="n">
        <f aca="false">D110-D109</f>
        <v>0</v>
      </c>
      <c r="L110" s="18" t="n">
        <f aca="false">(Kalkulator!$B$11-H110)/12</f>
        <v>0</v>
      </c>
    </row>
    <row r="111" customFormat="false" ht="15" hidden="false" customHeight="false" outlineLevel="0" collapsed="false">
      <c r="A111" s="18" t="n">
        <v>107</v>
      </c>
      <c r="B111" s="18" t="n">
        <f aca="false">MIN(Kalkulator!$B$26,Kalkulator!$B$19*A111)</f>
        <v>7500</v>
      </c>
      <c r="C111" s="18" t="n">
        <f aca="false">MIN(Kalkulator!$B$27,Kalkulator!$B$20*A111)</f>
        <v>4500</v>
      </c>
      <c r="D111" s="18" t="n">
        <f aca="false">MIN(Kalkulator!$B$28,Kalkulator!$B$21*A111)</f>
        <v>12000</v>
      </c>
      <c r="E111" s="18" t="n">
        <f aca="false">B111+C111</f>
        <v>12000</v>
      </c>
      <c r="F111" s="18" t="n">
        <f aca="false">IF(A111&lt;Kalkulator!$B$29,0,MIN(Kalkulator!$B$11,Kalkulator!$B$22*(A111-Kalkulator!$B$29+1),IF(Kalkulator!$B$29=1,E111,E110)))</f>
        <v>12000</v>
      </c>
      <c r="G111" s="18" t="n">
        <f aca="false">F111-F110</f>
        <v>0</v>
      </c>
      <c r="H111" s="18" t="n">
        <f aca="false">IF(A111&lt;=Kalkulator!$B$29,0,MIN(Kalkulator!$B$11,Kalkulator!$B$23*12*(A111-Kalkulator!$B$29),F110,D110))</f>
        <v>12000</v>
      </c>
      <c r="I111" s="18" t="n">
        <f aca="false">(H111-H110)/12</f>
        <v>0</v>
      </c>
      <c r="J111" s="18" t="n">
        <f aca="false">E111-E110</f>
        <v>0</v>
      </c>
      <c r="K111" s="18" t="n">
        <f aca="false">D111-D110</f>
        <v>0</v>
      </c>
      <c r="L111" s="18" t="n">
        <f aca="false">(Kalkulator!$B$11-H111)/12</f>
        <v>0</v>
      </c>
    </row>
    <row r="112" customFormat="false" ht="15" hidden="false" customHeight="false" outlineLevel="0" collapsed="false">
      <c r="A112" s="18" t="n">
        <v>108</v>
      </c>
      <c r="B112" s="18" t="n">
        <f aca="false">MIN(Kalkulator!$B$26,Kalkulator!$B$19*A112)</f>
        <v>7500</v>
      </c>
      <c r="C112" s="18" t="n">
        <f aca="false">MIN(Kalkulator!$B$27,Kalkulator!$B$20*A112)</f>
        <v>4500</v>
      </c>
      <c r="D112" s="18" t="n">
        <f aca="false">MIN(Kalkulator!$B$28,Kalkulator!$B$21*A112)</f>
        <v>12000</v>
      </c>
      <c r="E112" s="18" t="n">
        <f aca="false">B112+C112</f>
        <v>12000</v>
      </c>
      <c r="F112" s="18" t="n">
        <f aca="false">IF(A112&lt;Kalkulator!$B$29,0,MIN(Kalkulator!$B$11,Kalkulator!$B$22*(A112-Kalkulator!$B$29+1),IF(Kalkulator!$B$29=1,E112,E111)))</f>
        <v>12000</v>
      </c>
      <c r="G112" s="18" t="n">
        <f aca="false">F112-F111</f>
        <v>0</v>
      </c>
      <c r="H112" s="18" t="n">
        <f aca="false">IF(A112&lt;=Kalkulator!$B$29,0,MIN(Kalkulator!$B$11,Kalkulator!$B$23*12*(A112-Kalkulator!$B$29),F111,D111))</f>
        <v>12000</v>
      </c>
      <c r="I112" s="18" t="n">
        <f aca="false">(H112-H111)/12</f>
        <v>0</v>
      </c>
      <c r="J112" s="18" t="n">
        <f aca="false">E112-E111</f>
        <v>0</v>
      </c>
      <c r="K112" s="18" t="n">
        <f aca="false">D112-D111</f>
        <v>0</v>
      </c>
      <c r="L112" s="18" t="n">
        <f aca="false">(Kalkulator!$B$11-H112)/12</f>
        <v>0</v>
      </c>
    </row>
    <row r="113" customFormat="false" ht="15" hidden="false" customHeight="false" outlineLevel="0" collapsed="false">
      <c r="A113" s="18" t="n">
        <v>109</v>
      </c>
      <c r="B113" s="18" t="n">
        <f aca="false">MIN(Kalkulator!$B$26,Kalkulator!$B$19*A113)</f>
        <v>7500</v>
      </c>
      <c r="C113" s="18" t="n">
        <f aca="false">MIN(Kalkulator!$B$27,Kalkulator!$B$20*A113)</f>
        <v>4500</v>
      </c>
      <c r="D113" s="18" t="n">
        <f aca="false">MIN(Kalkulator!$B$28,Kalkulator!$B$21*A113)</f>
        <v>12000</v>
      </c>
      <c r="E113" s="18" t="n">
        <f aca="false">B113+C113</f>
        <v>12000</v>
      </c>
      <c r="F113" s="18" t="n">
        <f aca="false">IF(A113&lt;Kalkulator!$B$29,0,MIN(Kalkulator!$B$11,Kalkulator!$B$22*(A113-Kalkulator!$B$29+1),IF(Kalkulator!$B$29=1,E113,E112)))</f>
        <v>12000</v>
      </c>
      <c r="G113" s="18" t="n">
        <f aca="false">F113-F112</f>
        <v>0</v>
      </c>
      <c r="H113" s="18" t="n">
        <f aca="false">IF(A113&lt;=Kalkulator!$B$29,0,MIN(Kalkulator!$B$11,Kalkulator!$B$23*12*(A113-Kalkulator!$B$29),F112,D112))</f>
        <v>12000</v>
      </c>
      <c r="I113" s="18" t="n">
        <f aca="false">(H113-H112)/12</f>
        <v>0</v>
      </c>
      <c r="J113" s="18" t="n">
        <f aca="false">E113-E112</f>
        <v>0</v>
      </c>
      <c r="K113" s="18" t="n">
        <f aca="false">D113-D112</f>
        <v>0</v>
      </c>
      <c r="L113" s="18" t="n">
        <f aca="false">(Kalkulator!$B$11-H113)/12</f>
        <v>0</v>
      </c>
    </row>
    <row r="114" customFormat="false" ht="15" hidden="false" customHeight="false" outlineLevel="0" collapsed="false">
      <c r="A114" s="18" t="n">
        <v>110</v>
      </c>
      <c r="B114" s="18" t="n">
        <f aca="false">MIN(Kalkulator!$B$26,Kalkulator!$B$19*A114)</f>
        <v>7500</v>
      </c>
      <c r="C114" s="18" t="n">
        <f aca="false">MIN(Kalkulator!$B$27,Kalkulator!$B$20*A114)</f>
        <v>4500</v>
      </c>
      <c r="D114" s="18" t="n">
        <f aca="false">MIN(Kalkulator!$B$28,Kalkulator!$B$21*A114)</f>
        <v>12000</v>
      </c>
      <c r="E114" s="18" t="n">
        <f aca="false">B114+C114</f>
        <v>12000</v>
      </c>
      <c r="F114" s="18" t="n">
        <f aca="false">IF(A114&lt;Kalkulator!$B$29,0,MIN(Kalkulator!$B$11,Kalkulator!$B$22*(A114-Kalkulator!$B$29+1),IF(Kalkulator!$B$29=1,E114,E113)))</f>
        <v>12000</v>
      </c>
      <c r="G114" s="18" t="n">
        <f aca="false">F114-F113</f>
        <v>0</v>
      </c>
      <c r="H114" s="18" t="n">
        <f aca="false">IF(A114&lt;=Kalkulator!$B$29,0,MIN(Kalkulator!$B$11,Kalkulator!$B$23*12*(A114-Kalkulator!$B$29),F113,D113))</f>
        <v>12000</v>
      </c>
      <c r="I114" s="18" t="n">
        <f aca="false">(H114-H113)/12</f>
        <v>0</v>
      </c>
      <c r="J114" s="18" t="n">
        <f aca="false">E114-E113</f>
        <v>0</v>
      </c>
      <c r="K114" s="18" t="n">
        <f aca="false">D114-D113</f>
        <v>0</v>
      </c>
      <c r="L114" s="18" t="n">
        <f aca="false">(Kalkulator!$B$11-H114)/12</f>
        <v>0</v>
      </c>
    </row>
    <row r="115" customFormat="false" ht="15" hidden="false" customHeight="false" outlineLevel="0" collapsed="false">
      <c r="A115" s="18" t="n">
        <v>111</v>
      </c>
      <c r="B115" s="18" t="n">
        <f aca="false">MIN(Kalkulator!$B$26,Kalkulator!$B$19*A115)</f>
        <v>7500</v>
      </c>
      <c r="C115" s="18" t="n">
        <f aca="false">MIN(Kalkulator!$B$27,Kalkulator!$B$20*A115)</f>
        <v>4500</v>
      </c>
      <c r="D115" s="18" t="n">
        <f aca="false">MIN(Kalkulator!$B$28,Kalkulator!$B$21*A115)</f>
        <v>12000</v>
      </c>
      <c r="E115" s="18" t="n">
        <f aca="false">B115+C115</f>
        <v>12000</v>
      </c>
      <c r="F115" s="18" t="n">
        <f aca="false">IF(A115&lt;Kalkulator!$B$29,0,MIN(Kalkulator!$B$11,Kalkulator!$B$22*(A115-Kalkulator!$B$29+1),IF(Kalkulator!$B$29=1,E115,E114)))</f>
        <v>12000</v>
      </c>
      <c r="G115" s="18" t="n">
        <f aca="false">F115-F114</f>
        <v>0</v>
      </c>
      <c r="H115" s="18" t="n">
        <f aca="false">IF(A115&lt;=Kalkulator!$B$29,0,MIN(Kalkulator!$B$11,Kalkulator!$B$23*12*(A115-Kalkulator!$B$29),F114,D114))</f>
        <v>12000</v>
      </c>
      <c r="I115" s="18" t="n">
        <f aca="false">(H115-H114)/12</f>
        <v>0</v>
      </c>
      <c r="J115" s="18" t="n">
        <f aca="false">E115-E114</f>
        <v>0</v>
      </c>
      <c r="K115" s="18" t="n">
        <f aca="false">D115-D114</f>
        <v>0</v>
      </c>
      <c r="L115" s="18" t="n">
        <f aca="false">(Kalkulator!$B$11-H115)/12</f>
        <v>0</v>
      </c>
    </row>
    <row r="116" customFormat="false" ht="15" hidden="false" customHeight="false" outlineLevel="0" collapsed="false">
      <c r="A116" s="18" t="n">
        <v>112</v>
      </c>
      <c r="B116" s="18" t="n">
        <f aca="false">MIN(Kalkulator!$B$26,Kalkulator!$B$19*A116)</f>
        <v>7500</v>
      </c>
      <c r="C116" s="18" t="n">
        <f aca="false">MIN(Kalkulator!$B$27,Kalkulator!$B$20*A116)</f>
        <v>4500</v>
      </c>
      <c r="D116" s="18" t="n">
        <f aca="false">MIN(Kalkulator!$B$28,Kalkulator!$B$21*A116)</f>
        <v>12000</v>
      </c>
      <c r="E116" s="18" t="n">
        <f aca="false">B116+C116</f>
        <v>12000</v>
      </c>
      <c r="F116" s="18" t="n">
        <f aca="false">IF(A116&lt;Kalkulator!$B$29,0,MIN(Kalkulator!$B$11,Kalkulator!$B$22*(A116-Kalkulator!$B$29+1),IF(Kalkulator!$B$29=1,E116,E115)))</f>
        <v>12000</v>
      </c>
      <c r="G116" s="18" t="n">
        <f aca="false">F116-F115</f>
        <v>0</v>
      </c>
      <c r="H116" s="18" t="n">
        <f aca="false">IF(A116&lt;=Kalkulator!$B$29,0,MIN(Kalkulator!$B$11,Kalkulator!$B$23*12*(A116-Kalkulator!$B$29),F115,D115))</f>
        <v>12000</v>
      </c>
      <c r="I116" s="18" t="n">
        <f aca="false">(H116-H115)/12</f>
        <v>0</v>
      </c>
      <c r="J116" s="18" t="n">
        <f aca="false">E116-E115</f>
        <v>0</v>
      </c>
      <c r="K116" s="18" t="n">
        <f aca="false">D116-D115</f>
        <v>0</v>
      </c>
      <c r="L116" s="18" t="n">
        <f aca="false">(Kalkulator!$B$11-H116)/12</f>
        <v>0</v>
      </c>
    </row>
    <row r="117" customFormat="false" ht="15" hidden="false" customHeight="false" outlineLevel="0" collapsed="false">
      <c r="A117" s="18" t="n">
        <v>113</v>
      </c>
      <c r="B117" s="18" t="n">
        <f aca="false">MIN(Kalkulator!$B$26,Kalkulator!$B$19*A117)</f>
        <v>7500</v>
      </c>
      <c r="C117" s="18" t="n">
        <f aca="false">MIN(Kalkulator!$B$27,Kalkulator!$B$20*A117)</f>
        <v>4500</v>
      </c>
      <c r="D117" s="18" t="n">
        <f aca="false">MIN(Kalkulator!$B$28,Kalkulator!$B$21*A117)</f>
        <v>12000</v>
      </c>
      <c r="E117" s="18" t="n">
        <f aca="false">B117+C117</f>
        <v>12000</v>
      </c>
      <c r="F117" s="18" t="n">
        <f aca="false">IF(A117&lt;Kalkulator!$B$29,0,MIN(Kalkulator!$B$11,Kalkulator!$B$22*(A117-Kalkulator!$B$29+1),IF(Kalkulator!$B$29=1,E117,E116)))</f>
        <v>12000</v>
      </c>
      <c r="G117" s="18" t="n">
        <f aca="false">F117-F116</f>
        <v>0</v>
      </c>
      <c r="H117" s="18" t="n">
        <f aca="false">IF(A117&lt;=Kalkulator!$B$29,0,MIN(Kalkulator!$B$11,Kalkulator!$B$23*12*(A117-Kalkulator!$B$29),F116,D116))</f>
        <v>12000</v>
      </c>
      <c r="I117" s="18" t="n">
        <f aca="false">(H117-H116)/12</f>
        <v>0</v>
      </c>
      <c r="J117" s="18" t="n">
        <f aca="false">E117-E116</f>
        <v>0</v>
      </c>
      <c r="K117" s="18" t="n">
        <f aca="false">D117-D116</f>
        <v>0</v>
      </c>
      <c r="L117" s="18" t="n">
        <f aca="false">(Kalkulator!$B$11-H117)/12</f>
        <v>0</v>
      </c>
    </row>
    <row r="118" customFormat="false" ht="15" hidden="false" customHeight="false" outlineLevel="0" collapsed="false">
      <c r="A118" s="18" t="n">
        <v>114</v>
      </c>
      <c r="B118" s="18" t="n">
        <f aca="false">MIN(Kalkulator!$B$26,Kalkulator!$B$19*A118)</f>
        <v>7500</v>
      </c>
      <c r="C118" s="18" t="n">
        <f aca="false">MIN(Kalkulator!$B$27,Kalkulator!$B$20*A118)</f>
        <v>4500</v>
      </c>
      <c r="D118" s="18" t="n">
        <f aca="false">MIN(Kalkulator!$B$28,Kalkulator!$B$21*A118)</f>
        <v>12000</v>
      </c>
      <c r="E118" s="18" t="n">
        <f aca="false">B118+C118</f>
        <v>12000</v>
      </c>
      <c r="F118" s="18" t="n">
        <f aca="false">IF(A118&lt;Kalkulator!$B$29,0,MIN(Kalkulator!$B$11,Kalkulator!$B$22*(A118-Kalkulator!$B$29+1),IF(Kalkulator!$B$29=1,E118,E117)))</f>
        <v>12000</v>
      </c>
      <c r="G118" s="18" t="n">
        <f aca="false">F118-F117</f>
        <v>0</v>
      </c>
      <c r="H118" s="18" t="n">
        <f aca="false">IF(A118&lt;=Kalkulator!$B$29,0,MIN(Kalkulator!$B$11,Kalkulator!$B$23*12*(A118-Kalkulator!$B$29),F117,D117))</f>
        <v>12000</v>
      </c>
      <c r="I118" s="18" t="n">
        <f aca="false">(H118-H117)/12</f>
        <v>0</v>
      </c>
      <c r="J118" s="18" t="n">
        <f aca="false">E118-E117</f>
        <v>0</v>
      </c>
      <c r="K118" s="18" t="n">
        <f aca="false">D118-D117</f>
        <v>0</v>
      </c>
      <c r="L118" s="18" t="n">
        <f aca="false">(Kalkulator!$B$11-H118)/12</f>
        <v>0</v>
      </c>
    </row>
    <row r="119" customFormat="false" ht="15" hidden="false" customHeight="false" outlineLevel="0" collapsed="false">
      <c r="A119" s="18" t="n">
        <v>115</v>
      </c>
      <c r="B119" s="18" t="n">
        <f aca="false">MIN(Kalkulator!$B$26,Kalkulator!$B$19*A119)</f>
        <v>7500</v>
      </c>
      <c r="C119" s="18" t="n">
        <f aca="false">MIN(Kalkulator!$B$27,Kalkulator!$B$20*A119)</f>
        <v>4500</v>
      </c>
      <c r="D119" s="18" t="n">
        <f aca="false">MIN(Kalkulator!$B$28,Kalkulator!$B$21*A119)</f>
        <v>12000</v>
      </c>
      <c r="E119" s="18" t="n">
        <f aca="false">B119+C119</f>
        <v>12000</v>
      </c>
      <c r="F119" s="18" t="n">
        <f aca="false">IF(A119&lt;Kalkulator!$B$29,0,MIN(Kalkulator!$B$11,Kalkulator!$B$22*(A119-Kalkulator!$B$29+1),IF(Kalkulator!$B$29=1,E119,E118)))</f>
        <v>12000</v>
      </c>
      <c r="G119" s="18" t="n">
        <f aca="false">F119-F118</f>
        <v>0</v>
      </c>
      <c r="H119" s="18" t="n">
        <f aca="false">IF(A119&lt;=Kalkulator!$B$29,0,MIN(Kalkulator!$B$11,Kalkulator!$B$23*12*(A119-Kalkulator!$B$29),F118,D118))</f>
        <v>12000</v>
      </c>
      <c r="I119" s="18" t="n">
        <f aca="false">(H119-H118)/12</f>
        <v>0</v>
      </c>
      <c r="J119" s="18" t="n">
        <f aca="false">E119-E118</f>
        <v>0</v>
      </c>
      <c r="K119" s="18" t="n">
        <f aca="false">D119-D118</f>
        <v>0</v>
      </c>
      <c r="L119" s="18" t="n">
        <f aca="false">(Kalkulator!$B$11-H119)/12</f>
        <v>0</v>
      </c>
    </row>
    <row r="120" customFormat="false" ht="15" hidden="false" customHeight="false" outlineLevel="0" collapsed="false">
      <c r="A120" s="18" t="n">
        <v>116</v>
      </c>
      <c r="B120" s="18" t="n">
        <f aca="false">MIN(Kalkulator!$B$26,Kalkulator!$B$19*A120)</f>
        <v>7500</v>
      </c>
      <c r="C120" s="18" t="n">
        <f aca="false">MIN(Kalkulator!$B$27,Kalkulator!$B$20*A120)</f>
        <v>4500</v>
      </c>
      <c r="D120" s="18" t="n">
        <f aca="false">MIN(Kalkulator!$B$28,Kalkulator!$B$21*A120)</f>
        <v>12000</v>
      </c>
      <c r="E120" s="18" t="n">
        <f aca="false">B120+C120</f>
        <v>12000</v>
      </c>
      <c r="F120" s="18" t="n">
        <f aca="false">IF(A120&lt;Kalkulator!$B$29,0,MIN(Kalkulator!$B$11,Kalkulator!$B$22*(A120-Kalkulator!$B$29+1),IF(Kalkulator!$B$29=1,E120,E119)))</f>
        <v>12000</v>
      </c>
      <c r="G120" s="18" t="n">
        <f aca="false">F120-F119</f>
        <v>0</v>
      </c>
      <c r="H120" s="18" t="n">
        <f aca="false">IF(A120&lt;=Kalkulator!$B$29,0,MIN(Kalkulator!$B$11,Kalkulator!$B$23*12*(A120-Kalkulator!$B$29),F119,D119))</f>
        <v>12000</v>
      </c>
      <c r="I120" s="18" t="n">
        <f aca="false">(H120-H119)/12</f>
        <v>0</v>
      </c>
      <c r="J120" s="18" t="n">
        <f aca="false">E120-E119</f>
        <v>0</v>
      </c>
      <c r="K120" s="18" t="n">
        <f aca="false">D120-D119</f>
        <v>0</v>
      </c>
      <c r="L120" s="18" t="n">
        <f aca="false">(Kalkulator!$B$11-H120)/12</f>
        <v>0</v>
      </c>
    </row>
    <row r="121" customFormat="false" ht="15" hidden="false" customHeight="false" outlineLevel="0" collapsed="false">
      <c r="A121" s="18" t="n">
        <v>117</v>
      </c>
      <c r="B121" s="18" t="n">
        <f aca="false">MIN(Kalkulator!$B$26,Kalkulator!$B$19*A121)</f>
        <v>7500</v>
      </c>
      <c r="C121" s="18" t="n">
        <f aca="false">MIN(Kalkulator!$B$27,Kalkulator!$B$20*A121)</f>
        <v>4500</v>
      </c>
      <c r="D121" s="18" t="n">
        <f aca="false">MIN(Kalkulator!$B$28,Kalkulator!$B$21*A121)</f>
        <v>12000</v>
      </c>
      <c r="E121" s="18" t="n">
        <f aca="false">B121+C121</f>
        <v>12000</v>
      </c>
      <c r="F121" s="18" t="n">
        <f aca="false">IF(A121&lt;Kalkulator!$B$29,0,MIN(Kalkulator!$B$11,Kalkulator!$B$22*(A121-Kalkulator!$B$29+1),IF(Kalkulator!$B$29=1,E121,E120)))</f>
        <v>12000</v>
      </c>
      <c r="G121" s="18" t="n">
        <f aca="false">F121-F120</f>
        <v>0</v>
      </c>
      <c r="H121" s="18" t="n">
        <f aca="false">IF(A121&lt;=Kalkulator!$B$29,0,MIN(Kalkulator!$B$11,Kalkulator!$B$23*12*(A121-Kalkulator!$B$29),F120,D120))</f>
        <v>12000</v>
      </c>
      <c r="I121" s="18" t="n">
        <f aca="false">(H121-H120)/12</f>
        <v>0</v>
      </c>
      <c r="J121" s="18" t="n">
        <f aca="false">E121-E120</f>
        <v>0</v>
      </c>
      <c r="K121" s="18" t="n">
        <f aca="false">D121-D120</f>
        <v>0</v>
      </c>
      <c r="L121" s="18" t="n">
        <f aca="false">(Kalkulator!$B$11-H121)/12</f>
        <v>0</v>
      </c>
    </row>
    <row r="122" customFormat="false" ht="15" hidden="false" customHeight="false" outlineLevel="0" collapsed="false">
      <c r="A122" s="18" t="n">
        <v>118</v>
      </c>
      <c r="B122" s="18" t="n">
        <f aca="false">MIN(Kalkulator!$B$26,Kalkulator!$B$19*A122)</f>
        <v>7500</v>
      </c>
      <c r="C122" s="18" t="n">
        <f aca="false">MIN(Kalkulator!$B$27,Kalkulator!$B$20*A122)</f>
        <v>4500</v>
      </c>
      <c r="D122" s="18" t="n">
        <f aca="false">MIN(Kalkulator!$B$28,Kalkulator!$B$21*A122)</f>
        <v>12000</v>
      </c>
      <c r="E122" s="18" t="n">
        <f aca="false">B122+C122</f>
        <v>12000</v>
      </c>
      <c r="F122" s="18" t="n">
        <f aca="false">IF(A122&lt;Kalkulator!$B$29,0,MIN(Kalkulator!$B$11,Kalkulator!$B$22*(A122-Kalkulator!$B$29+1),IF(Kalkulator!$B$29=1,E122,E121)))</f>
        <v>12000</v>
      </c>
      <c r="G122" s="18" t="n">
        <f aca="false">F122-F121</f>
        <v>0</v>
      </c>
      <c r="H122" s="18" t="n">
        <f aca="false">IF(A122&lt;=Kalkulator!$B$29,0,MIN(Kalkulator!$B$11,Kalkulator!$B$23*12*(A122-Kalkulator!$B$29),F121,D121))</f>
        <v>12000</v>
      </c>
      <c r="I122" s="18" t="n">
        <f aca="false">(H122-H121)/12</f>
        <v>0</v>
      </c>
      <c r="J122" s="18" t="n">
        <f aca="false">E122-E121</f>
        <v>0</v>
      </c>
      <c r="K122" s="18" t="n">
        <f aca="false">D122-D121</f>
        <v>0</v>
      </c>
      <c r="L122" s="18" t="n">
        <f aca="false">(Kalkulator!$B$11-H122)/12</f>
        <v>0</v>
      </c>
    </row>
    <row r="123" customFormat="false" ht="15" hidden="false" customHeight="false" outlineLevel="0" collapsed="false">
      <c r="A123" s="18" t="n">
        <v>119</v>
      </c>
      <c r="B123" s="18" t="n">
        <f aca="false">MIN(Kalkulator!$B$26,Kalkulator!$B$19*A123)</f>
        <v>7500</v>
      </c>
      <c r="C123" s="18" t="n">
        <f aca="false">MIN(Kalkulator!$B$27,Kalkulator!$B$20*A123)</f>
        <v>4500</v>
      </c>
      <c r="D123" s="18" t="n">
        <f aca="false">MIN(Kalkulator!$B$28,Kalkulator!$B$21*A123)</f>
        <v>12000</v>
      </c>
      <c r="E123" s="18" t="n">
        <f aca="false">B123+C123</f>
        <v>12000</v>
      </c>
      <c r="F123" s="18" t="n">
        <f aca="false">IF(A123&lt;Kalkulator!$B$29,0,MIN(Kalkulator!$B$11,Kalkulator!$B$22*(A123-Kalkulator!$B$29+1),IF(Kalkulator!$B$29=1,E123,E122)))</f>
        <v>12000</v>
      </c>
      <c r="G123" s="18" t="n">
        <f aca="false">F123-F122</f>
        <v>0</v>
      </c>
      <c r="H123" s="18" t="n">
        <f aca="false">IF(A123&lt;=Kalkulator!$B$29,0,MIN(Kalkulator!$B$11,Kalkulator!$B$23*12*(A123-Kalkulator!$B$29),F122,D122))</f>
        <v>12000</v>
      </c>
      <c r="I123" s="18" t="n">
        <f aca="false">(H123-H122)/12</f>
        <v>0</v>
      </c>
      <c r="J123" s="18" t="n">
        <f aca="false">E123-E122</f>
        <v>0</v>
      </c>
      <c r="K123" s="18" t="n">
        <f aca="false">D123-D122</f>
        <v>0</v>
      </c>
      <c r="L123" s="18" t="n">
        <f aca="false">(Kalkulator!$B$11-H123)/12</f>
        <v>0</v>
      </c>
    </row>
    <row r="124" customFormat="false" ht="15" hidden="false" customHeight="false" outlineLevel="0" collapsed="false">
      <c r="A124" s="18" t="n">
        <v>120</v>
      </c>
      <c r="B124" s="18" t="n">
        <f aca="false">MIN(Kalkulator!$B$26,Kalkulator!$B$19*A124)</f>
        <v>7500</v>
      </c>
      <c r="C124" s="18" t="n">
        <f aca="false">MIN(Kalkulator!$B$27,Kalkulator!$B$20*A124)</f>
        <v>4500</v>
      </c>
      <c r="D124" s="18" t="n">
        <f aca="false">MIN(Kalkulator!$B$28,Kalkulator!$B$21*A124)</f>
        <v>12000</v>
      </c>
      <c r="E124" s="18" t="n">
        <f aca="false">B124+C124</f>
        <v>12000</v>
      </c>
      <c r="F124" s="18" t="n">
        <f aca="false">IF(A124&lt;Kalkulator!$B$29,0,MIN(Kalkulator!$B$11,Kalkulator!$B$22*(A124-Kalkulator!$B$29+1),IF(Kalkulator!$B$29=1,E124,E123)))</f>
        <v>12000</v>
      </c>
      <c r="G124" s="18" t="n">
        <f aca="false">F124-F123</f>
        <v>0</v>
      </c>
      <c r="H124" s="18" t="n">
        <f aca="false">IF(A124&lt;=Kalkulator!$B$29,0,MIN(Kalkulator!$B$11,Kalkulator!$B$23*12*(A124-Kalkulator!$B$29),F123,D123))</f>
        <v>12000</v>
      </c>
      <c r="I124" s="18" t="n">
        <f aca="false">(H124-H123)/12</f>
        <v>0</v>
      </c>
      <c r="J124" s="18" t="n">
        <f aca="false">E124-E123</f>
        <v>0</v>
      </c>
      <c r="K124" s="18" t="n">
        <f aca="false">D124-D123</f>
        <v>0</v>
      </c>
      <c r="L124" s="18" t="n">
        <f aca="false">(Kalkulator!$B$11-H124)/12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41" min="2" style="0" width="6.51"/>
  </cols>
  <sheetData>
    <row r="1" customFormat="false" ht="15" hidden="false" customHeight="false" outlineLevel="0" collapsed="false">
      <c r="A1" s="19" t="s">
        <v>92</v>
      </c>
    </row>
    <row r="3" customFormat="false" ht="15" hidden="false" customHeight="false" outlineLevel="0" collapsed="false">
      <c r="A3" s="19" t="s">
        <v>93</v>
      </c>
      <c r="B3" s="20" t="n">
        <v>1</v>
      </c>
      <c r="C3" s="20" t="n">
        <v>2</v>
      </c>
      <c r="D3" s="20" t="n">
        <v>3</v>
      </c>
      <c r="E3" s="20" t="n">
        <v>4</v>
      </c>
      <c r="F3" s="20" t="n">
        <v>5</v>
      </c>
      <c r="G3" s="20" t="n">
        <v>6</v>
      </c>
      <c r="H3" s="20" t="n">
        <v>7</v>
      </c>
      <c r="I3" s="20" t="n">
        <v>8</v>
      </c>
      <c r="J3" s="20" t="n">
        <v>9</v>
      </c>
      <c r="K3" s="20" t="n">
        <v>10</v>
      </c>
      <c r="L3" s="20" t="n">
        <v>11</v>
      </c>
      <c r="M3" s="20" t="n">
        <v>12</v>
      </c>
      <c r="N3" s="20" t="n">
        <v>13</v>
      </c>
      <c r="O3" s="20" t="n">
        <v>14</v>
      </c>
      <c r="P3" s="20" t="n">
        <v>15</v>
      </c>
      <c r="Q3" s="20" t="n">
        <v>16</v>
      </c>
      <c r="R3" s="20" t="n">
        <v>17</v>
      </c>
      <c r="S3" s="20" t="n">
        <v>18</v>
      </c>
      <c r="T3" s="20" t="n">
        <v>19</v>
      </c>
      <c r="U3" s="20" t="n">
        <v>20</v>
      </c>
      <c r="V3" s="20" t="n">
        <v>21</v>
      </c>
      <c r="W3" s="20" t="n">
        <v>22</v>
      </c>
      <c r="X3" s="20" t="n">
        <v>23</v>
      </c>
      <c r="Y3" s="20" t="n">
        <v>24</v>
      </c>
      <c r="Z3" s="20" t="n">
        <v>25</v>
      </c>
      <c r="AA3" s="20" t="n">
        <v>26</v>
      </c>
      <c r="AB3" s="20" t="n">
        <v>27</v>
      </c>
      <c r="AC3" s="20" t="n">
        <v>28</v>
      </c>
      <c r="AD3" s="20" t="n">
        <v>29</v>
      </c>
      <c r="AE3" s="20" t="n">
        <v>30</v>
      </c>
      <c r="AF3" s="20" t="n">
        <v>31</v>
      </c>
      <c r="AG3" s="20" t="n">
        <v>32</v>
      </c>
      <c r="AH3" s="20" t="n">
        <v>33</v>
      </c>
      <c r="AI3" s="20" t="n">
        <v>34</v>
      </c>
      <c r="AJ3" s="20" t="n">
        <v>35</v>
      </c>
      <c r="AK3" s="20" t="n">
        <v>36</v>
      </c>
      <c r="AL3" s="20" t="n">
        <v>37</v>
      </c>
      <c r="AM3" s="20" t="n">
        <v>38</v>
      </c>
      <c r="AN3" s="20" t="n">
        <v>39</v>
      </c>
      <c r="AO3" s="20" t="n">
        <v>40</v>
      </c>
    </row>
    <row r="4" customFormat="false" ht="15" hidden="false" customHeight="false" outlineLevel="0" collapsed="false">
      <c r="A4" s="19" t="s">
        <v>94</v>
      </c>
      <c r="B4" s="21" t="n">
        <f aca="false">IF('Hari per Hari'!J5&gt;0,'Hari per Hari'!J5,"")</f>
        <v>2400</v>
      </c>
      <c r="C4" s="21" t="n">
        <f aca="false">IF('Hari per Hari'!J6&gt;0,'Hari per Hari'!J6,"")</f>
        <v>2400</v>
      </c>
      <c r="D4" s="21" t="n">
        <f aca="false">IF('Hari per Hari'!J7&gt;0,'Hari per Hari'!J7,"")</f>
        <v>2400</v>
      </c>
      <c r="E4" s="21" t="n">
        <f aca="false">IF('Hari per Hari'!J8&gt;0,'Hari per Hari'!J8,"")</f>
        <v>2100</v>
      </c>
      <c r="F4" s="21" t="n">
        <f aca="false">IF('Hari per Hari'!J9&gt;0,'Hari per Hari'!J9,"")</f>
        <v>1200</v>
      </c>
      <c r="G4" s="21" t="n">
        <f aca="false">IF('Hari per Hari'!J10&gt;0,'Hari per Hari'!J10,"")</f>
        <v>1200</v>
      </c>
      <c r="H4" s="21" t="n">
        <f aca="false">IF('Hari per Hari'!J11&gt;0,'Hari per Hari'!J11,"")</f>
        <v>300</v>
      </c>
      <c r="I4" s="21" t="str">
        <f aca="false">IF('Hari per Hari'!J12&gt;0,'Hari per Hari'!J12,"")</f>
        <v/>
      </c>
      <c r="J4" s="21" t="str">
        <f aca="false">IF('Hari per Hari'!J13&gt;0,'Hari per Hari'!J13,"")</f>
        <v/>
      </c>
      <c r="K4" s="21" t="str">
        <f aca="false">IF('Hari per Hari'!J14&gt;0,'Hari per Hari'!J14,"")</f>
        <v/>
      </c>
      <c r="L4" s="21" t="str">
        <f aca="false">IF('Hari per Hari'!J15&gt;0,'Hari per Hari'!J15,"")</f>
        <v/>
      </c>
      <c r="M4" s="21" t="str">
        <f aca="false">IF('Hari per Hari'!J16&gt;0,'Hari per Hari'!J16,"")</f>
        <v/>
      </c>
      <c r="N4" s="21" t="str">
        <f aca="false">IF('Hari per Hari'!J17&gt;0,'Hari per Hari'!J17,"")</f>
        <v/>
      </c>
      <c r="O4" s="21" t="str">
        <f aca="false">IF('Hari per Hari'!J18&gt;0,'Hari per Hari'!J18,"")</f>
        <v/>
      </c>
      <c r="P4" s="21" t="str">
        <f aca="false">IF('Hari per Hari'!J19&gt;0,'Hari per Hari'!J19,"")</f>
        <v/>
      </c>
      <c r="Q4" s="21" t="str">
        <f aca="false">IF('Hari per Hari'!J20&gt;0,'Hari per Hari'!J20,"")</f>
        <v/>
      </c>
      <c r="R4" s="21" t="str">
        <f aca="false">IF('Hari per Hari'!J21&gt;0,'Hari per Hari'!J21,"")</f>
        <v/>
      </c>
      <c r="S4" s="21" t="str">
        <f aca="false">IF('Hari per Hari'!J22&gt;0,'Hari per Hari'!J22,"")</f>
        <v/>
      </c>
      <c r="T4" s="21" t="str">
        <f aca="false">IF('Hari per Hari'!J23&gt;0,'Hari per Hari'!J23,"")</f>
        <v/>
      </c>
      <c r="U4" s="21" t="str">
        <f aca="false">IF('Hari per Hari'!J24&gt;0,'Hari per Hari'!J24,"")</f>
        <v/>
      </c>
      <c r="V4" s="21" t="str">
        <f aca="false">IF('Hari per Hari'!J25&gt;0,'Hari per Hari'!J25,"")</f>
        <v/>
      </c>
      <c r="W4" s="21" t="str">
        <f aca="false">IF('Hari per Hari'!J26&gt;0,'Hari per Hari'!J26,"")</f>
        <v/>
      </c>
      <c r="X4" s="21" t="str">
        <f aca="false">IF('Hari per Hari'!J27&gt;0,'Hari per Hari'!J27,"")</f>
        <v/>
      </c>
      <c r="Y4" s="21" t="str">
        <f aca="false">IF('Hari per Hari'!J28&gt;0,'Hari per Hari'!J28,"")</f>
        <v/>
      </c>
      <c r="Z4" s="21" t="str">
        <f aca="false">IF('Hari per Hari'!J29&gt;0,'Hari per Hari'!J29,"")</f>
        <v/>
      </c>
      <c r="AA4" s="21" t="str">
        <f aca="false">IF('Hari per Hari'!J30&gt;0,'Hari per Hari'!J30,"")</f>
        <v/>
      </c>
      <c r="AB4" s="21" t="str">
        <f aca="false">IF('Hari per Hari'!J31&gt;0,'Hari per Hari'!J31,"")</f>
        <v/>
      </c>
      <c r="AC4" s="21" t="str">
        <f aca="false">IF('Hari per Hari'!J32&gt;0,'Hari per Hari'!J32,"")</f>
        <v/>
      </c>
      <c r="AD4" s="21" t="str">
        <f aca="false">IF('Hari per Hari'!J33&gt;0,'Hari per Hari'!J33,"")</f>
        <v/>
      </c>
      <c r="AE4" s="21" t="str">
        <f aca="false">IF('Hari per Hari'!J34&gt;0,'Hari per Hari'!J34,"")</f>
        <v/>
      </c>
      <c r="AF4" s="21" t="str">
        <f aca="false">IF('Hari per Hari'!J35&gt;0,'Hari per Hari'!J35,"")</f>
        <v/>
      </c>
      <c r="AG4" s="21" t="str">
        <f aca="false">IF('Hari per Hari'!J36&gt;0,'Hari per Hari'!J36,"")</f>
        <v/>
      </c>
      <c r="AH4" s="21" t="str">
        <f aca="false">IF('Hari per Hari'!J37&gt;0,'Hari per Hari'!J37,"")</f>
        <v/>
      </c>
      <c r="AI4" s="21" t="str">
        <f aca="false">IF('Hari per Hari'!J38&gt;0,'Hari per Hari'!J38,"")</f>
        <v/>
      </c>
      <c r="AJ4" s="21" t="str">
        <f aca="false">IF('Hari per Hari'!J39&gt;0,'Hari per Hari'!J39,"")</f>
        <v/>
      </c>
      <c r="AK4" s="21" t="str">
        <f aca="false">IF('Hari per Hari'!J40&gt;0,'Hari per Hari'!J40,"")</f>
        <v/>
      </c>
      <c r="AL4" s="21" t="str">
        <f aca="false">IF('Hari per Hari'!J41&gt;0,'Hari per Hari'!J41,"")</f>
        <v/>
      </c>
      <c r="AM4" s="21" t="str">
        <f aca="false">IF('Hari per Hari'!J42&gt;0,'Hari per Hari'!J42,"")</f>
        <v/>
      </c>
      <c r="AN4" s="21" t="str">
        <f aca="false">IF('Hari per Hari'!J43&gt;0,'Hari per Hari'!J43,"")</f>
        <v/>
      </c>
      <c r="AO4" s="21" t="str">
        <f aca="false">IF('Hari per Hari'!J44&gt;0,'Hari per Hari'!J44,"")</f>
        <v/>
      </c>
    </row>
    <row r="5" customFormat="false" ht="15" hidden="false" customHeight="false" outlineLevel="0" collapsed="false">
      <c r="A5" s="19" t="s">
        <v>95</v>
      </c>
      <c r="B5" s="21" t="n">
        <f aca="false">IF('Hari per Hari'!K5&gt;0,'Hari per Hari'!K5,"")</f>
        <v>1200</v>
      </c>
      <c r="C5" s="21" t="n">
        <f aca="false">IF('Hari per Hari'!K6&gt;0,'Hari per Hari'!K6,"")</f>
        <v>1200</v>
      </c>
      <c r="D5" s="21" t="n">
        <f aca="false">IF('Hari per Hari'!K7&gt;0,'Hari per Hari'!K7,"")</f>
        <v>1200</v>
      </c>
      <c r="E5" s="21" t="n">
        <f aca="false">IF('Hari per Hari'!K8&gt;0,'Hari per Hari'!K8,"")</f>
        <v>1200</v>
      </c>
      <c r="F5" s="21" t="n">
        <f aca="false">IF('Hari per Hari'!K9&gt;0,'Hari per Hari'!K9,"")</f>
        <v>1200</v>
      </c>
      <c r="G5" s="21" t="n">
        <f aca="false">IF('Hari per Hari'!K10&gt;0,'Hari per Hari'!K10,"")</f>
        <v>1200</v>
      </c>
      <c r="H5" s="21" t="n">
        <f aca="false">IF('Hari per Hari'!K11&gt;0,'Hari per Hari'!K11,"")</f>
        <v>1200</v>
      </c>
      <c r="I5" s="21" t="n">
        <f aca="false">IF('Hari per Hari'!K12&gt;0,'Hari per Hari'!K12,"")</f>
        <v>1200</v>
      </c>
      <c r="J5" s="21" t="n">
        <f aca="false">IF('Hari per Hari'!K13&gt;0,'Hari per Hari'!K13,"")</f>
        <v>1200</v>
      </c>
      <c r="K5" s="21" t="n">
        <f aca="false">IF('Hari per Hari'!K14&gt;0,'Hari per Hari'!K14,"")</f>
        <v>1200</v>
      </c>
      <c r="L5" s="21" t="str">
        <f aca="false">IF('Hari per Hari'!K15&gt;0,'Hari per Hari'!K15,"")</f>
        <v/>
      </c>
      <c r="M5" s="21" t="str">
        <f aca="false">IF('Hari per Hari'!K16&gt;0,'Hari per Hari'!K16,"")</f>
        <v/>
      </c>
      <c r="N5" s="21" t="str">
        <f aca="false">IF('Hari per Hari'!K17&gt;0,'Hari per Hari'!K17,"")</f>
        <v/>
      </c>
      <c r="O5" s="21" t="str">
        <f aca="false">IF('Hari per Hari'!K18&gt;0,'Hari per Hari'!K18,"")</f>
        <v/>
      </c>
      <c r="P5" s="21" t="str">
        <f aca="false">IF('Hari per Hari'!K19&gt;0,'Hari per Hari'!K19,"")</f>
        <v/>
      </c>
      <c r="Q5" s="21" t="str">
        <f aca="false">IF('Hari per Hari'!K20&gt;0,'Hari per Hari'!K20,"")</f>
        <v/>
      </c>
      <c r="R5" s="21" t="str">
        <f aca="false">IF('Hari per Hari'!K21&gt;0,'Hari per Hari'!K21,"")</f>
        <v/>
      </c>
      <c r="S5" s="21" t="str">
        <f aca="false">IF('Hari per Hari'!K22&gt;0,'Hari per Hari'!K22,"")</f>
        <v/>
      </c>
      <c r="T5" s="21" t="str">
        <f aca="false">IF('Hari per Hari'!K23&gt;0,'Hari per Hari'!K23,"")</f>
        <v/>
      </c>
      <c r="U5" s="21" t="str">
        <f aca="false">IF('Hari per Hari'!K24&gt;0,'Hari per Hari'!K24,"")</f>
        <v/>
      </c>
      <c r="V5" s="21" t="str">
        <f aca="false">IF('Hari per Hari'!K25&gt;0,'Hari per Hari'!K25,"")</f>
        <v/>
      </c>
      <c r="W5" s="21" t="str">
        <f aca="false">IF('Hari per Hari'!K26&gt;0,'Hari per Hari'!K26,"")</f>
        <v/>
      </c>
      <c r="X5" s="21" t="str">
        <f aca="false">IF('Hari per Hari'!K27&gt;0,'Hari per Hari'!K27,"")</f>
        <v/>
      </c>
      <c r="Y5" s="21" t="str">
        <f aca="false">IF('Hari per Hari'!K28&gt;0,'Hari per Hari'!K28,"")</f>
        <v/>
      </c>
      <c r="Z5" s="21" t="str">
        <f aca="false">IF('Hari per Hari'!K29&gt;0,'Hari per Hari'!K29,"")</f>
        <v/>
      </c>
      <c r="AA5" s="21" t="str">
        <f aca="false">IF('Hari per Hari'!K30&gt;0,'Hari per Hari'!K30,"")</f>
        <v/>
      </c>
      <c r="AB5" s="21" t="str">
        <f aca="false">IF('Hari per Hari'!K31&gt;0,'Hari per Hari'!K31,"")</f>
        <v/>
      </c>
      <c r="AC5" s="21" t="str">
        <f aca="false">IF('Hari per Hari'!K32&gt;0,'Hari per Hari'!K32,"")</f>
        <v/>
      </c>
      <c r="AD5" s="21" t="str">
        <f aca="false">IF('Hari per Hari'!K33&gt;0,'Hari per Hari'!K33,"")</f>
        <v/>
      </c>
      <c r="AE5" s="21" t="str">
        <f aca="false">IF('Hari per Hari'!K34&gt;0,'Hari per Hari'!K34,"")</f>
        <v/>
      </c>
      <c r="AF5" s="21" t="str">
        <f aca="false">IF('Hari per Hari'!K35&gt;0,'Hari per Hari'!K35,"")</f>
        <v/>
      </c>
      <c r="AG5" s="21" t="str">
        <f aca="false">IF('Hari per Hari'!K36&gt;0,'Hari per Hari'!K36,"")</f>
        <v/>
      </c>
      <c r="AH5" s="21" t="str">
        <f aca="false">IF('Hari per Hari'!K37&gt;0,'Hari per Hari'!K37,"")</f>
        <v/>
      </c>
      <c r="AI5" s="21" t="str">
        <f aca="false">IF('Hari per Hari'!K38&gt;0,'Hari per Hari'!K38,"")</f>
        <v/>
      </c>
      <c r="AJ5" s="21" t="str">
        <f aca="false">IF('Hari per Hari'!K39&gt;0,'Hari per Hari'!K39,"")</f>
        <v/>
      </c>
      <c r="AK5" s="21" t="str">
        <f aca="false">IF('Hari per Hari'!K40&gt;0,'Hari per Hari'!K40,"")</f>
        <v/>
      </c>
      <c r="AL5" s="21" t="str">
        <f aca="false">IF('Hari per Hari'!K41&gt;0,'Hari per Hari'!K41,"")</f>
        <v/>
      </c>
      <c r="AM5" s="21" t="str">
        <f aca="false">IF('Hari per Hari'!K42&gt;0,'Hari per Hari'!K42,"")</f>
        <v/>
      </c>
      <c r="AN5" s="21" t="str">
        <f aca="false">IF('Hari per Hari'!K43&gt;0,'Hari per Hari'!K43,"")</f>
        <v/>
      </c>
      <c r="AO5" s="21" t="str">
        <f aca="false">IF('Hari per Hari'!K44&gt;0,'Hari per Hari'!K44,"")</f>
        <v/>
      </c>
    </row>
    <row r="6" customFormat="false" ht="15" hidden="false" customHeight="false" outlineLevel="0" collapsed="false">
      <c r="A6" s="19" t="s">
        <v>96</v>
      </c>
      <c r="B6" s="21" t="n">
        <f aca="false">IF('Hari per Hari'!G5&gt;0,'Hari per Hari'!G5,"")</f>
        <v>780</v>
      </c>
      <c r="C6" s="21" t="n">
        <f aca="false">IF('Hari per Hari'!G6&gt;0,'Hari per Hari'!G6,"")</f>
        <v>780</v>
      </c>
      <c r="D6" s="21" t="n">
        <f aca="false">IF('Hari per Hari'!G7&gt;0,'Hari per Hari'!G7,"")</f>
        <v>780</v>
      </c>
      <c r="E6" s="21" t="n">
        <f aca="false">IF('Hari per Hari'!G8&gt;0,'Hari per Hari'!G8,"")</f>
        <v>780</v>
      </c>
      <c r="F6" s="21" t="n">
        <f aca="false">IF('Hari per Hari'!G9&gt;0,'Hari per Hari'!G9,"")</f>
        <v>780</v>
      </c>
      <c r="G6" s="21" t="n">
        <f aca="false">IF('Hari per Hari'!G10&gt;0,'Hari per Hari'!G10,"")</f>
        <v>780</v>
      </c>
      <c r="H6" s="21" t="n">
        <f aca="false">IF('Hari per Hari'!G11&gt;0,'Hari per Hari'!G11,"")</f>
        <v>780</v>
      </c>
      <c r="I6" s="21" t="n">
        <f aca="false">IF('Hari per Hari'!G12&gt;0,'Hari per Hari'!G12,"")</f>
        <v>780</v>
      </c>
      <c r="J6" s="21" t="n">
        <f aca="false">IF('Hari per Hari'!G13&gt;0,'Hari per Hari'!G13,"")</f>
        <v>780</v>
      </c>
      <c r="K6" s="21" t="n">
        <f aca="false">IF('Hari per Hari'!G14&gt;0,'Hari per Hari'!G14,"")</f>
        <v>780</v>
      </c>
      <c r="L6" s="21" t="n">
        <f aca="false">IF('Hari per Hari'!G15&gt;0,'Hari per Hari'!G15,"")</f>
        <v>780</v>
      </c>
      <c r="M6" s="21" t="n">
        <f aca="false">IF('Hari per Hari'!G16&gt;0,'Hari per Hari'!G16,"")</f>
        <v>780</v>
      </c>
      <c r="N6" s="21" t="n">
        <f aca="false">IF('Hari per Hari'!G17&gt;0,'Hari per Hari'!G17,"")</f>
        <v>780</v>
      </c>
      <c r="O6" s="21" t="n">
        <f aca="false">IF('Hari per Hari'!G18&gt;0,'Hari per Hari'!G18,"")</f>
        <v>780</v>
      </c>
      <c r="P6" s="21" t="n">
        <f aca="false">IF('Hari per Hari'!G19&gt;0,'Hari per Hari'!G19,"")</f>
        <v>780</v>
      </c>
      <c r="Q6" s="21" t="n">
        <f aca="false">IF('Hari per Hari'!G20&gt;0,'Hari per Hari'!G20,"")</f>
        <v>300</v>
      </c>
      <c r="R6" s="21" t="str">
        <f aca="false">IF('Hari per Hari'!G21&gt;0,'Hari per Hari'!G21,"")</f>
        <v/>
      </c>
      <c r="S6" s="21" t="str">
        <f aca="false">IF('Hari per Hari'!G22&gt;0,'Hari per Hari'!G22,"")</f>
        <v/>
      </c>
      <c r="T6" s="21" t="str">
        <f aca="false">IF('Hari per Hari'!G23&gt;0,'Hari per Hari'!G23,"")</f>
        <v/>
      </c>
      <c r="U6" s="21" t="str">
        <f aca="false">IF('Hari per Hari'!G24&gt;0,'Hari per Hari'!G24,"")</f>
        <v/>
      </c>
      <c r="V6" s="21" t="str">
        <f aca="false">IF('Hari per Hari'!G25&gt;0,'Hari per Hari'!G25,"")</f>
        <v/>
      </c>
      <c r="W6" s="21" t="str">
        <f aca="false">IF('Hari per Hari'!G26&gt;0,'Hari per Hari'!G26,"")</f>
        <v/>
      </c>
      <c r="X6" s="21" t="str">
        <f aca="false">IF('Hari per Hari'!G27&gt;0,'Hari per Hari'!G27,"")</f>
        <v/>
      </c>
      <c r="Y6" s="21" t="str">
        <f aca="false">IF('Hari per Hari'!G28&gt;0,'Hari per Hari'!G28,"")</f>
        <v/>
      </c>
      <c r="Z6" s="21" t="str">
        <f aca="false">IF('Hari per Hari'!G29&gt;0,'Hari per Hari'!G29,"")</f>
        <v/>
      </c>
      <c r="AA6" s="21" t="str">
        <f aca="false">IF('Hari per Hari'!G30&gt;0,'Hari per Hari'!G30,"")</f>
        <v/>
      </c>
      <c r="AB6" s="21" t="str">
        <f aca="false">IF('Hari per Hari'!G31&gt;0,'Hari per Hari'!G31,"")</f>
        <v/>
      </c>
      <c r="AC6" s="21" t="str">
        <f aca="false">IF('Hari per Hari'!G32&gt;0,'Hari per Hari'!G32,"")</f>
        <v/>
      </c>
      <c r="AD6" s="21" t="str">
        <f aca="false">IF('Hari per Hari'!G33&gt;0,'Hari per Hari'!G33,"")</f>
        <v/>
      </c>
      <c r="AE6" s="21" t="str">
        <f aca="false">IF('Hari per Hari'!G34&gt;0,'Hari per Hari'!G34,"")</f>
        <v/>
      </c>
      <c r="AF6" s="21" t="str">
        <f aca="false">IF('Hari per Hari'!G35&gt;0,'Hari per Hari'!G35,"")</f>
        <v/>
      </c>
      <c r="AG6" s="21" t="str">
        <f aca="false">IF('Hari per Hari'!G36&gt;0,'Hari per Hari'!G36,"")</f>
        <v/>
      </c>
      <c r="AH6" s="21" t="str">
        <f aca="false">IF('Hari per Hari'!G37&gt;0,'Hari per Hari'!G37,"")</f>
        <v/>
      </c>
      <c r="AI6" s="21" t="str">
        <f aca="false">IF('Hari per Hari'!G38&gt;0,'Hari per Hari'!G38,"")</f>
        <v/>
      </c>
      <c r="AJ6" s="21" t="str">
        <f aca="false">IF('Hari per Hari'!G39&gt;0,'Hari per Hari'!G39,"")</f>
        <v/>
      </c>
      <c r="AK6" s="21" t="str">
        <f aca="false">IF('Hari per Hari'!G40&gt;0,'Hari per Hari'!G40,"")</f>
        <v/>
      </c>
      <c r="AL6" s="21" t="str">
        <f aca="false">IF('Hari per Hari'!G41&gt;0,'Hari per Hari'!G41,"")</f>
        <v/>
      </c>
      <c r="AM6" s="21" t="str">
        <f aca="false">IF('Hari per Hari'!G42&gt;0,'Hari per Hari'!G42,"")</f>
        <v/>
      </c>
      <c r="AN6" s="21" t="str">
        <f aca="false">IF('Hari per Hari'!G43&gt;0,'Hari per Hari'!G43,"")</f>
        <v/>
      </c>
      <c r="AO6" s="21" t="str">
        <f aca="false">IF('Hari per Hari'!G44&gt;0,'Hari per Hari'!G44,"")</f>
        <v/>
      </c>
    </row>
    <row r="7" customFormat="false" ht="15" hidden="false" customHeight="false" outlineLevel="0" collapsed="false">
      <c r="A7" s="19" t="s">
        <v>97</v>
      </c>
      <c r="B7" s="21" t="str">
        <f aca="false">IF('Hari per Hari'!I5&gt;0,'Hari per Hari'!I5,"")</f>
        <v/>
      </c>
      <c r="C7" s="21" t="n">
        <f aca="false">IF('Hari per Hari'!I6&gt;0,'Hari per Hari'!I6,"")</f>
        <v>65</v>
      </c>
      <c r="D7" s="21" t="n">
        <f aca="false">IF('Hari per Hari'!I7&gt;0,'Hari per Hari'!I7,"")</f>
        <v>65</v>
      </c>
      <c r="E7" s="21" t="n">
        <f aca="false">IF('Hari per Hari'!I8&gt;0,'Hari per Hari'!I8,"")</f>
        <v>65</v>
      </c>
      <c r="F7" s="21" t="n">
        <f aca="false">IF('Hari per Hari'!I9&gt;0,'Hari per Hari'!I9,"")</f>
        <v>65</v>
      </c>
      <c r="G7" s="21" t="n">
        <f aca="false">IF('Hari per Hari'!I10&gt;0,'Hari per Hari'!I10,"")</f>
        <v>65</v>
      </c>
      <c r="H7" s="21" t="n">
        <f aca="false">IF('Hari per Hari'!I11&gt;0,'Hari per Hari'!I11,"")</f>
        <v>65</v>
      </c>
      <c r="I7" s="21" t="n">
        <f aca="false">IF('Hari per Hari'!I12&gt;0,'Hari per Hari'!I12,"")</f>
        <v>65</v>
      </c>
      <c r="J7" s="21" t="n">
        <f aca="false">IF('Hari per Hari'!I13&gt;0,'Hari per Hari'!I13,"")</f>
        <v>65</v>
      </c>
      <c r="K7" s="21" t="n">
        <f aca="false">IF('Hari per Hari'!I14&gt;0,'Hari per Hari'!I14,"")</f>
        <v>65</v>
      </c>
      <c r="L7" s="21" t="n">
        <f aca="false">IF('Hari per Hari'!I15&gt;0,'Hari per Hari'!I15,"")</f>
        <v>65</v>
      </c>
      <c r="M7" s="21" t="n">
        <f aca="false">IF('Hari per Hari'!I16&gt;0,'Hari per Hari'!I16,"")</f>
        <v>65</v>
      </c>
      <c r="N7" s="21" t="n">
        <f aca="false">IF('Hari per Hari'!I17&gt;0,'Hari per Hari'!I17,"")</f>
        <v>65</v>
      </c>
      <c r="O7" s="21" t="n">
        <f aca="false">IF('Hari per Hari'!I18&gt;0,'Hari per Hari'!I18,"")</f>
        <v>65</v>
      </c>
      <c r="P7" s="21" t="n">
        <f aca="false">IF('Hari per Hari'!I19&gt;0,'Hari per Hari'!I19,"")</f>
        <v>65</v>
      </c>
      <c r="Q7" s="21" t="n">
        <f aca="false">IF('Hari per Hari'!I20&gt;0,'Hari per Hari'!I20,"")</f>
        <v>65</v>
      </c>
      <c r="R7" s="21" t="n">
        <f aca="false">IF('Hari per Hari'!I21&gt;0,'Hari per Hari'!I21,"")</f>
        <v>25</v>
      </c>
      <c r="S7" s="21" t="str">
        <f aca="false">IF('Hari per Hari'!I22&gt;0,'Hari per Hari'!I22,"")</f>
        <v/>
      </c>
      <c r="T7" s="21" t="str">
        <f aca="false">IF('Hari per Hari'!I23&gt;0,'Hari per Hari'!I23,"")</f>
        <v/>
      </c>
      <c r="U7" s="21" t="str">
        <f aca="false">IF('Hari per Hari'!I24&gt;0,'Hari per Hari'!I24,"")</f>
        <v/>
      </c>
      <c r="V7" s="21" t="str">
        <f aca="false">IF('Hari per Hari'!I25&gt;0,'Hari per Hari'!I25,"")</f>
        <v/>
      </c>
      <c r="W7" s="21" t="str">
        <f aca="false">IF('Hari per Hari'!I26&gt;0,'Hari per Hari'!I26,"")</f>
        <v/>
      </c>
      <c r="X7" s="21" t="str">
        <f aca="false">IF('Hari per Hari'!I27&gt;0,'Hari per Hari'!I27,"")</f>
        <v/>
      </c>
      <c r="Y7" s="21" t="str">
        <f aca="false">IF('Hari per Hari'!I28&gt;0,'Hari per Hari'!I28,"")</f>
        <v/>
      </c>
      <c r="Z7" s="21" t="str">
        <f aca="false">IF('Hari per Hari'!I29&gt;0,'Hari per Hari'!I29,"")</f>
        <v/>
      </c>
      <c r="AA7" s="21" t="str">
        <f aca="false">IF('Hari per Hari'!I30&gt;0,'Hari per Hari'!I30,"")</f>
        <v/>
      </c>
      <c r="AB7" s="21" t="str">
        <f aca="false">IF('Hari per Hari'!I31&gt;0,'Hari per Hari'!I31,"")</f>
        <v/>
      </c>
      <c r="AC7" s="21" t="str">
        <f aca="false">IF('Hari per Hari'!I32&gt;0,'Hari per Hari'!I32,"")</f>
        <v/>
      </c>
      <c r="AD7" s="21" t="str">
        <f aca="false">IF('Hari per Hari'!I33&gt;0,'Hari per Hari'!I33,"")</f>
        <v/>
      </c>
      <c r="AE7" s="21" t="str">
        <f aca="false">IF('Hari per Hari'!I34&gt;0,'Hari per Hari'!I34,"")</f>
        <v/>
      </c>
      <c r="AF7" s="21" t="str">
        <f aca="false">IF('Hari per Hari'!I35&gt;0,'Hari per Hari'!I35,"")</f>
        <v/>
      </c>
      <c r="AG7" s="21" t="str">
        <f aca="false">IF('Hari per Hari'!I36&gt;0,'Hari per Hari'!I36,"")</f>
        <v/>
      </c>
      <c r="AH7" s="21" t="str">
        <f aca="false">IF('Hari per Hari'!I37&gt;0,'Hari per Hari'!I37,"")</f>
        <v/>
      </c>
      <c r="AI7" s="21" t="str">
        <f aca="false">IF('Hari per Hari'!I38&gt;0,'Hari per Hari'!I38,"")</f>
        <v/>
      </c>
      <c r="AJ7" s="21" t="str">
        <f aca="false">IF('Hari per Hari'!I39&gt;0,'Hari per Hari'!I39,"")</f>
        <v/>
      </c>
      <c r="AK7" s="21" t="str">
        <f aca="false">IF('Hari per Hari'!I40&gt;0,'Hari per Hari'!I40,"")</f>
        <v/>
      </c>
      <c r="AL7" s="21" t="str">
        <f aca="false">IF('Hari per Hari'!I41&gt;0,'Hari per Hari'!I41,"")</f>
        <v/>
      </c>
      <c r="AM7" s="21" t="str">
        <f aca="false">IF('Hari per Hari'!I42&gt;0,'Hari per Hari'!I42,"")</f>
        <v/>
      </c>
      <c r="AN7" s="21" t="str">
        <f aca="false">IF('Hari per Hari'!I43&gt;0,'Hari per Hari'!I43,"")</f>
        <v/>
      </c>
      <c r="AO7" s="21" t="str">
        <f aca="false">IF('Hari per Hari'!I44&gt;0,'Hari per Hari'!I44,"")</f>
        <v/>
      </c>
    </row>
  </sheetData>
  <conditionalFormatting sqref="B4:AO4">
    <cfRule type="cellIs" priority="2" operator="greaterThan" aboveAverage="0" equalAverage="0" bottom="0" percent="0" rank="0" text="" dxfId="0">
      <formula>0</formula>
    </cfRule>
  </conditionalFormatting>
  <conditionalFormatting sqref="B5:AO5">
    <cfRule type="cellIs" priority="3" operator="greaterThan" aboveAverage="0" equalAverage="0" bottom="0" percent="0" rank="0" text="" dxfId="0">
      <formula>0</formula>
    </cfRule>
  </conditionalFormatting>
  <conditionalFormatting sqref="B6:AO6">
    <cfRule type="cellIs" priority="4" operator="greaterThan" aboveAverage="0" equalAverage="0" bottom="0" percent="0" rank="0" text="" dxfId="1">
      <formula>0</formula>
    </cfRule>
  </conditionalFormatting>
  <conditionalFormatting sqref="B7:AO7">
    <cfRule type="cellIs" priority="5" operator="greaterThan" aboveAverage="0" equalAverage="0" bottom="0" percent="0" rank="0" text="" dxfId="2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2026-10-15T08:10:15Z</dcterms:created>
  <dc:creator>openpyxl</dc:creator>
  <dc:description/>
  <dc:language>en-ID</dc:language>
  <cp:lastModifiedBy/>
  <dcterms:modified xsi:type="dcterms:W3CDTF">2026-10-15T08:10:15Z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